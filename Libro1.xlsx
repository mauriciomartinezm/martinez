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\martinez\"/>
    </mc:Choice>
  </mc:AlternateContent>
  <xr:revisionPtr revIDLastSave="0" documentId="13_ncr:1_{DBAFB09A-7012-44F5-BC54-22B13C12AFF6}" xr6:coauthVersionLast="47" xr6:coauthVersionMax="47" xr10:uidLastSave="{00000000-0000-0000-0000-000000000000}"/>
  <bookViews>
    <workbookView xWindow="-120" yWindow="-120" windowWidth="29040" windowHeight="15720" xr2:uid="{8B2EE24F-4D9F-4C07-B887-598C03669AC7}"/>
  </bookViews>
  <sheets>
    <sheet name="Pagos" sheetId="1" r:id="rId1"/>
    <sheet name="Contratos" sheetId="3" r:id="rId2"/>
    <sheet name="Tabla dinamica" sheetId="2" r:id="rId3"/>
  </sheets>
  <definedNames>
    <definedName name="_xlcn.WorksheetConnection_Libro1Tabla21" hidden="1">Tabla2[]</definedName>
    <definedName name="_xlcn.WorksheetConnection_Libro1Tabla31" hidden="1">Tabla3[]</definedName>
  </definedNames>
  <calcPr calcId="191029"/>
  <pivotCaches>
    <pivotCache cacheId="163" r:id="rId4"/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" name="Tabla3" connection="WorksheetConnection_Libro1!Tabla3"/>
          <x15:modelTable id="Tabla2" name="Tabla2" connection="WorksheetConnection_Libro1!Tabla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 a="1"/>
  <c r="A4" i="1" s="1"/>
  <c r="A15" i="1" a="1"/>
  <c r="A15" i="1" s="1"/>
  <c r="A175" i="1" a="1"/>
  <c r="A175" i="1" s="1"/>
  <c r="A183" i="1" a="1"/>
  <c r="A183" i="1" s="1"/>
  <c r="K31" i="1"/>
  <c r="F16" i="3"/>
  <c r="F35" i="3"/>
  <c r="F39" i="3"/>
  <c r="F50" i="3"/>
  <c r="F55" i="3"/>
  <c r="F15" i="3"/>
  <c r="F38" i="3"/>
  <c r="F14" i="3"/>
  <c r="F13" i="3"/>
  <c r="F54" i="3"/>
  <c r="F53" i="3"/>
  <c r="F34" i="3"/>
  <c r="F33" i="3"/>
  <c r="F32" i="3"/>
  <c r="F10" i="3"/>
  <c r="F9" i="3"/>
  <c r="F8" i="3"/>
  <c r="F7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49" i="3"/>
  <c r="F48" i="3"/>
  <c r="F43" i="3"/>
  <c r="F42" i="3"/>
  <c r="F41" i="3"/>
  <c r="F4" i="3"/>
  <c r="A185" i="1" s="1" a="1"/>
  <c r="A185" i="1" s="1"/>
  <c r="F3" i="3"/>
  <c r="F46" i="3"/>
  <c r="F47" i="3"/>
  <c r="F45" i="3"/>
  <c r="F12" i="3"/>
  <c r="F11" i="3"/>
  <c r="F52" i="3"/>
  <c r="F31" i="3"/>
  <c r="F56" i="3"/>
  <c r="F5" i="3"/>
  <c r="F6" i="3"/>
  <c r="F37" i="3"/>
  <c r="F44" i="3"/>
  <c r="F51" i="3"/>
  <c r="F36" i="3"/>
  <c r="F17" i="3"/>
  <c r="F40" i="3"/>
  <c r="F2" i="3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2" i="1"/>
  <c r="K143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90" i="1"/>
  <c r="K100" i="1"/>
  <c r="K99" i="1"/>
  <c r="K98" i="1"/>
  <c r="K97" i="1"/>
  <c r="K96" i="1"/>
  <c r="K95" i="1"/>
  <c r="K94" i="1"/>
  <c r="K93" i="1"/>
  <c r="K92" i="1"/>
  <c r="K91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2" i="1"/>
  <c r="A180" i="1" l="1" a="1"/>
  <c r="A180" i="1" s="1"/>
  <c r="A148" i="1" a="1"/>
  <c r="A148" i="1" s="1"/>
  <c r="A116" i="1" a="1"/>
  <c r="A116" i="1" s="1"/>
  <c r="A84" i="1" a="1"/>
  <c r="A84" i="1" s="1"/>
  <c r="A52" i="1" a="1"/>
  <c r="A52" i="1" s="1"/>
  <c r="A20" i="1" a="1"/>
  <c r="A20" i="1" s="1"/>
  <c r="A155" i="1" a="1"/>
  <c r="A155" i="1" s="1"/>
  <c r="A123" i="1" a="1"/>
  <c r="A123" i="1" s="1"/>
  <c r="A178" i="1" a="1"/>
  <c r="A178" i="1" s="1"/>
  <c r="A177" i="1" a="1"/>
  <c r="A177" i="1" s="1"/>
  <c r="A161" i="1" a="1"/>
  <c r="A161" i="1" s="1"/>
  <c r="A153" i="1" a="1"/>
  <c r="A153" i="1" s="1"/>
  <c r="A145" i="1" a="1"/>
  <c r="A145" i="1" s="1"/>
  <c r="A137" i="1" a="1"/>
  <c r="A137" i="1" s="1"/>
  <c r="A129" i="1" a="1"/>
  <c r="A129" i="1" s="1"/>
  <c r="A121" i="1" a="1"/>
  <c r="A121" i="1" s="1"/>
  <c r="A113" i="1" a="1"/>
  <c r="A113" i="1" s="1"/>
  <c r="A105" i="1" a="1"/>
  <c r="A105" i="1" s="1"/>
  <c r="A97" i="1" a="1"/>
  <c r="A97" i="1" s="1"/>
  <c r="A89" i="1" a="1"/>
  <c r="A89" i="1" s="1"/>
  <c r="A81" i="1" a="1"/>
  <c r="A81" i="1" s="1"/>
  <c r="A73" i="1" a="1"/>
  <c r="A73" i="1" s="1"/>
  <c r="A65" i="1" a="1"/>
  <c r="A65" i="1" s="1"/>
  <c r="A57" i="1" a="1"/>
  <c r="A57" i="1" s="1"/>
  <c r="A49" i="1" a="1"/>
  <c r="A49" i="1" s="1"/>
  <c r="A41" i="1" a="1"/>
  <c r="A41" i="1" s="1"/>
  <c r="A33" i="1" a="1"/>
  <c r="A33" i="1" s="1"/>
  <c r="A25" i="1" a="1"/>
  <c r="A25" i="1" s="1"/>
  <c r="A17" i="1" a="1"/>
  <c r="A17" i="1" s="1"/>
  <c r="A9" i="1" a="1"/>
  <c r="A9" i="1" s="1"/>
  <c r="A156" i="1" a="1"/>
  <c r="A156" i="1" s="1"/>
  <c r="A124" i="1" a="1"/>
  <c r="A124" i="1" s="1"/>
  <c r="A92" i="1" a="1"/>
  <c r="A92" i="1" s="1"/>
  <c r="A60" i="1" a="1"/>
  <c r="A60" i="1" s="1"/>
  <c r="A28" i="1" a="1"/>
  <c r="A28" i="1" s="1"/>
  <c r="A171" i="1" a="1"/>
  <c r="A171" i="1" s="1"/>
  <c r="A139" i="1" a="1"/>
  <c r="A139" i="1" s="1"/>
  <c r="A99" i="1" a="1"/>
  <c r="A99" i="1" s="1"/>
  <c r="A2" i="1" a="1"/>
  <c r="A2" i="1" s="1"/>
  <c r="A169" i="1" a="1"/>
  <c r="A169" i="1" s="1"/>
  <c r="A184" i="1" a="1"/>
  <c r="A184" i="1" s="1"/>
  <c r="A176" i="1" a="1"/>
  <c r="A176" i="1" s="1"/>
  <c r="A168" i="1" a="1"/>
  <c r="A168" i="1" s="1"/>
  <c r="A160" i="1" a="1"/>
  <c r="A160" i="1" s="1"/>
  <c r="A152" i="1" a="1"/>
  <c r="A152" i="1" s="1"/>
  <c r="A144" i="1" a="1"/>
  <c r="A144" i="1" s="1"/>
  <c r="A136" i="1" a="1"/>
  <c r="A136" i="1" s="1"/>
  <c r="A128" i="1" a="1"/>
  <c r="A128" i="1" s="1"/>
  <c r="A120" i="1" a="1"/>
  <c r="A120" i="1" s="1"/>
  <c r="A112" i="1" a="1"/>
  <c r="A112" i="1" s="1"/>
  <c r="A104" i="1" a="1"/>
  <c r="A104" i="1" s="1"/>
  <c r="A96" i="1" a="1"/>
  <c r="A96" i="1" s="1"/>
  <c r="A88" i="1" a="1"/>
  <c r="A88" i="1" s="1"/>
  <c r="A80" i="1" a="1"/>
  <c r="A80" i="1" s="1"/>
  <c r="A72" i="1" a="1"/>
  <c r="A72" i="1" s="1"/>
  <c r="A64" i="1" a="1"/>
  <c r="A64" i="1" s="1"/>
  <c r="A56" i="1" a="1"/>
  <c r="A56" i="1" s="1"/>
  <c r="A48" i="1" a="1"/>
  <c r="A48" i="1" s="1"/>
  <c r="A40" i="1" a="1"/>
  <c r="A40" i="1" s="1"/>
  <c r="A32" i="1" a="1"/>
  <c r="A32" i="1" s="1"/>
  <c r="A24" i="1" a="1"/>
  <c r="A24" i="1" s="1"/>
  <c r="A16" i="1" a="1"/>
  <c r="A16" i="1" s="1"/>
  <c r="A8" i="1" a="1"/>
  <c r="A8" i="1" s="1"/>
  <c r="A7" i="1" a="1"/>
  <c r="A7" i="1" s="1"/>
  <c r="A167" i="1" a="1"/>
  <c r="A167" i="1" s="1"/>
  <c r="A151" i="1" a="1"/>
  <c r="A151" i="1" s="1"/>
  <c r="A135" i="1" a="1"/>
  <c r="A135" i="1" s="1"/>
  <c r="A119" i="1" a="1"/>
  <c r="A119" i="1" s="1"/>
  <c r="A103" i="1" a="1"/>
  <c r="A103" i="1" s="1"/>
  <c r="A87" i="1" a="1"/>
  <c r="A87" i="1" s="1"/>
  <c r="A71" i="1" a="1"/>
  <c r="A71" i="1" s="1"/>
  <c r="A55" i="1" a="1"/>
  <c r="A55" i="1" s="1"/>
  <c r="A39" i="1" a="1"/>
  <c r="A39" i="1" s="1"/>
  <c r="A23" i="1" a="1"/>
  <c r="A23" i="1" s="1"/>
  <c r="A174" i="1" a="1"/>
  <c r="A174" i="1" s="1"/>
  <c r="A166" i="1" a="1"/>
  <c r="A166" i="1" s="1"/>
  <c r="A158" i="1" a="1"/>
  <c r="A158" i="1" s="1"/>
  <c r="A150" i="1" a="1"/>
  <c r="A150" i="1" s="1"/>
  <c r="A142" i="1" a="1"/>
  <c r="A142" i="1" s="1"/>
  <c r="A134" i="1" a="1"/>
  <c r="A134" i="1" s="1"/>
  <c r="A126" i="1" a="1"/>
  <c r="A126" i="1" s="1"/>
  <c r="A118" i="1" a="1"/>
  <c r="A118" i="1" s="1"/>
  <c r="A110" i="1" a="1"/>
  <c r="A110" i="1" s="1"/>
  <c r="A102" i="1" a="1"/>
  <c r="A102" i="1" s="1"/>
  <c r="A94" i="1" a="1"/>
  <c r="A94" i="1" s="1"/>
  <c r="A86" i="1" a="1"/>
  <c r="A86" i="1" s="1"/>
  <c r="A78" i="1" a="1"/>
  <c r="A78" i="1" s="1"/>
  <c r="A70" i="1" a="1"/>
  <c r="A70" i="1" s="1"/>
  <c r="A62" i="1" a="1"/>
  <c r="A62" i="1" s="1"/>
  <c r="A54" i="1" a="1"/>
  <c r="A54" i="1" s="1"/>
  <c r="A46" i="1" a="1"/>
  <c r="A46" i="1" s="1"/>
  <c r="A38" i="1" a="1"/>
  <c r="A38" i="1" s="1"/>
  <c r="A30" i="1" a="1"/>
  <c r="A30" i="1" s="1"/>
  <c r="A22" i="1" a="1"/>
  <c r="A22" i="1" s="1"/>
  <c r="A14" i="1" a="1"/>
  <c r="A14" i="1" s="1"/>
  <c r="A6" i="1" a="1"/>
  <c r="A6" i="1" s="1"/>
  <c r="A159" i="1" a="1"/>
  <c r="A159" i="1" s="1"/>
  <c r="A143" i="1" a="1"/>
  <c r="A143" i="1" s="1"/>
  <c r="A127" i="1" a="1"/>
  <c r="A127" i="1" s="1"/>
  <c r="A111" i="1" a="1"/>
  <c r="A111" i="1" s="1"/>
  <c r="A95" i="1" a="1"/>
  <c r="A95" i="1" s="1"/>
  <c r="A79" i="1" a="1"/>
  <c r="A79" i="1" s="1"/>
  <c r="A63" i="1" a="1"/>
  <c r="A63" i="1" s="1"/>
  <c r="A47" i="1" a="1"/>
  <c r="A47" i="1" s="1"/>
  <c r="A31" i="1" a="1"/>
  <c r="A31" i="1" s="1"/>
  <c r="A182" i="1" a="1"/>
  <c r="A182" i="1" s="1"/>
  <c r="A181" i="1" a="1"/>
  <c r="A181" i="1" s="1"/>
  <c r="A173" i="1" a="1"/>
  <c r="A173" i="1" s="1"/>
  <c r="A165" i="1" a="1"/>
  <c r="A165" i="1" s="1"/>
  <c r="A157" i="1" a="1"/>
  <c r="A157" i="1" s="1"/>
  <c r="A149" i="1" a="1"/>
  <c r="A149" i="1" s="1"/>
  <c r="A141" i="1" a="1"/>
  <c r="A141" i="1" s="1"/>
  <c r="A133" i="1" a="1"/>
  <c r="A133" i="1" s="1"/>
  <c r="A125" i="1" a="1"/>
  <c r="A125" i="1" s="1"/>
  <c r="A117" i="1" a="1"/>
  <c r="A117" i="1" s="1"/>
  <c r="A109" i="1" a="1"/>
  <c r="A109" i="1" s="1"/>
  <c r="A101" i="1" a="1"/>
  <c r="A101" i="1" s="1"/>
  <c r="A93" i="1" a="1"/>
  <c r="A93" i="1" s="1"/>
  <c r="A85" i="1" a="1"/>
  <c r="A85" i="1" s="1"/>
  <c r="A77" i="1" a="1"/>
  <c r="A77" i="1" s="1"/>
  <c r="A69" i="1" a="1"/>
  <c r="A69" i="1" s="1"/>
  <c r="A61" i="1" a="1"/>
  <c r="A61" i="1" s="1"/>
  <c r="A53" i="1" a="1"/>
  <c r="A53" i="1" s="1"/>
  <c r="A45" i="1" a="1"/>
  <c r="A45" i="1" s="1"/>
  <c r="A37" i="1" a="1"/>
  <c r="A37" i="1" s="1"/>
  <c r="A29" i="1" a="1"/>
  <c r="A29" i="1" s="1"/>
  <c r="A21" i="1" a="1"/>
  <c r="A21" i="1" s="1"/>
  <c r="A13" i="1" a="1"/>
  <c r="A13" i="1" s="1"/>
  <c r="A5" i="1" a="1"/>
  <c r="A5" i="1" s="1"/>
  <c r="A172" i="1" a="1"/>
  <c r="A172" i="1" s="1"/>
  <c r="A140" i="1" a="1"/>
  <c r="A140" i="1" s="1"/>
  <c r="A100" i="1" a="1"/>
  <c r="A100" i="1" s="1"/>
  <c r="A68" i="1" a="1"/>
  <c r="A68" i="1" s="1"/>
  <c r="A36" i="1" a="1"/>
  <c r="A36" i="1" s="1"/>
  <c r="A179" i="1" a="1"/>
  <c r="A179" i="1" s="1"/>
  <c r="A147" i="1" a="1"/>
  <c r="A147" i="1" s="1"/>
  <c r="A115" i="1" a="1"/>
  <c r="A115" i="1" s="1"/>
  <c r="A91" i="1" a="1"/>
  <c r="A91" i="1" s="1"/>
  <c r="A83" i="1" a="1"/>
  <c r="A83" i="1" s="1"/>
  <c r="A75" i="1" a="1"/>
  <c r="A75" i="1" s="1"/>
  <c r="A67" i="1" a="1"/>
  <c r="A67" i="1" s="1"/>
  <c r="A59" i="1" a="1"/>
  <c r="A59" i="1" s="1"/>
  <c r="A51" i="1" a="1"/>
  <c r="A51" i="1" s="1"/>
  <c r="A43" i="1" a="1"/>
  <c r="A43" i="1" s="1"/>
  <c r="A35" i="1" a="1"/>
  <c r="A35" i="1" s="1"/>
  <c r="A27" i="1" a="1"/>
  <c r="A27" i="1" s="1"/>
  <c r="A19" i="1" a="1"/>
  <c r="A19" i="1" s="1"/>
  <c r="A11" i="1" a="1"/>
  <c r="A11" i="1" s="1"/>
  <c r="A3" i="1" a="1"/>
  <c r="A3" i="1" s="1"/>
  <c r="A164" i="1" a="1"/>
  <c r="A164" i="1" s="1"/>
  <c r="A132" i="1" a="1"/>
  <c r="A132" i="1" s="1"/>
  <c r="A108" i="1" a="1"/>
  <c r="A108" i="1" s="1"/>
  <c r="A76" i="1" a="1"/>
  <c r="A76" i="1" s="1"/>
  <c r="A44" i="1" a="1"/>
  <c r="A44" i="1" s="1"/>
  <c r="A12" i="1" a="1"/>
  <c r="A12" i="1" s="1"/>
  <c r="A163" i="1" a="1"/>
  <c r="A163" i="1" s="1"/>
  <c r="A131" i="1" a="1"/>
  <c r="A131" i="1" s="1"/>
  <c r="A107" i="1" a="1"/>
  <c r="A107" i="1" s="1"/>
  <c r="A170" i="1" a="1"/>
  <c r="A170" i="1" s="1"/>
  <c r="A162" i="1" a="1"/>
  <c r="A162" i="1" s="1"/>
  <c r="A154" i="1" a="1"/>
  <c r="A154" i="1" s="1"/>
  <c r="A146" i="1" a="1"/>
  <c r="A146" i="1" s="1"/>
  <c r="A138" i="1" a="1"/>
  <c r="A138" i="1" s="1"/>
  <c r="A130" i="1" a="1"/>
  <c r="A130" i="1" s="1"/>
  <c r="A122" i="1" a="1"/>
  <c r="A122" i="1" s="1"/>
  <c r="A114" i="1" a="1"/>
  <c r="A114" i="1" s="1"/>
  <c r="A106" i="1" a="1"/>
  <c r="A106" i="1" s="1"/>
  <c r="A98" i="1" a="1"/>
  <c r="A98" i="1" s="1"/>
  <c r="A90" i="1" a="1"/>
  <c r="A90" i="1" s="1"/>
  <c r="A82" i="1" a="1"/>
  <c r="A82" i="1" s="1"/>
  <c r="A74" i="1" a="1"/>
  <c r="A74" i="1" s="1"/>
  <c r="A66" i="1" a="1"/>
  <c r="A66" i="1" s="1"/>
  <c r="A58" i="1" a="1"/>
  <c r="A58" i="1" s="1"/>
  <c r="A50" i="1" a="1"/>
  <c r="A50" i="1" s="1"/>
  <c r="A42" i="1" a="1"/>
  <c r="A42" i="1" s="1"/>
  <c r="A34" i="1" a="1"/>
  <c r="A34" i="1" s="1"/>
  <c r="A26" i="1" a="1"/>
  <c r="A26" i="1" s="1"/>
  <c r="A18" i="1" a="1"/>
  <c r="A18" i="1" s="1"/>
  <c r="A10" i="1" a="1"/>
  <c r="A10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1DBBB5C-ED39-4AC5-88E4-EA5453EC6FD5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9A884E61-7E39-4B37-858E-A4316CAF3B60}" name="WorksheetConnection_Libro1!Tabla2" type="102" refreshedVersion="8" minRefreshableVersion="5">
    <extLst>
      <ext xmlns:x15="http://schemas.microsoft.com/office/spreadsheetml/2010/11/main" uri="{DE250136-89BD-433C-8126-D09CA5730AF9}">
        <x15:connection id="Tabla2">
          <x15:rangePr sourceName="_xlcn.WorksheetConnection_Libro1Tabla21"/>
        </x15:connection>
      </ext>
    </extLst>
  </connection>
  <connection id="3" xr16:uid="{DA66C734-B9D9-4728-9064-21857E7846B6}" name="WorksheetConnection_Libro1!Tabla3" type="102" refreshedVersion="8" minRefreshableVersion="5">
    <extLst>
      <ext xmlns:x15="http://schemas.microsoft.com/office/spreadsheetml/2010/11/main" uri="{DE250136-89BD-433C-8126-D09CA5730AF9}">
        <x15:connection id="Tabla3" autoDelete="1">
          <x15:rangePr sourceName="_xlcn.WorksheetConnection_Libro1Tabla3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<sst xmlns="http://schemas.openxmlformats.org/spreadsheetml/2006/main" count="751" uniqueCount="119">
  <si>
    <t>EDIFICIO</t>
  </si>
  <si>
    <t>FECHA</t>
  </si>
  <si>
    <t>VALOR</t>
  </si>
  <si>
    <t>TOTAL</t>
  </si>
  <si>
    <t>FONDO INMUEBLE</t>
  </si>
  <si>
    <t>CUOTA ADMINISTRACION</t>
  </si>
  <si>
    <t>NOMBRE PROPIETARIO</t>
  </si>
  <si>
    <t>Edificio 1 gaitán</t>
  </si>
  <si>
    <t>Edificio 2 gaitán</t>
  </si>
  <si>
    <t>Edificio 3 gaitán</t>
  </si>
  <si>
    <t>Edificio manantial</t>
  </si>
  <si>
    <t>PISO</t>
  </si>
  <si>
    <t>Ana</t>
  </si>
  <si>
    <t>Luz</t>
  </si>
  <si>
    <t>Gustavo</t>
  </si>
  <si>
    <t>Johana</t>
  </si>
  <si>
    <t>Victor</t>
  </si>
  <si>
    <t>Melissa</t>
  </si>
  <si>
    <t>Juan Olmos</t>
  </si>
  <si>
    <t>Bleikes</t>
  </si>
  <si>
    <t>Angelica</t>
  </si>
  <si>
    <t>Yuranis</t>
  </si>
  <si>
    <t>Henry</t>
  </si>
  <si>
    <t>Yadeisy</t>
  </si>
  <si>
    <t>Carlos Rios</t>
  </si>
  <si>
    <t>Daniel</t>
  </si>
  <si>
    <t>Etiquetas de fila</t>
  </si>
  <si>
    <t>Total general</t>
  </si>
  <si>
    <t>Suma de TOTAL</t>
  </si>
  <si>
    <t>Suma de CUOTA ADMINISTRACION</t>
  </si>
  <si>
    <t>Suma de FONDO INMUEBLE</t>
  </si>
  <si>
    <t>Liliana</t>
  </si>
  <si>
    <t>Yelisa</t>
  </si>
  <si>
    <t>Jaiver</t>
  </si>
  <si>
    <t>Evelyn</t>
  </si>
  <si>
    <t>Orlenys</t>
  </si>
  <si>
    <t>Daniela</t>
  </si>
  <si>
    <t>Nombre</t>
  </si>
  <si>
    <t>Fecha inicio</t>
  </si>
  <si>
    <t>Fecha fin</t>
  </si>
  <si>
    <t>Activo</t>
  </si>
  <si>
    <t>Edificio</t>
  </si>
  <si>
    <t>Piso</t>
  </si>
  <si>
    <t>Melisa</t>
  </si>
  <si>
    <t>2024</t>
  </si>
  <si>
    <t>2025</t>
  </si>
  <si>
    <t>mar</t>
  </si>
  <si>
    <t>sep</t>
  </si>
  <si>
    <t>id contrato</t>
  </si>
  <si>
    <t>MES</t>
  </si>
  <si>
    <t>ANIO</t>
  </si>
  <si>
    <t>ID CONTRATO</t>
  </si>
  <si>
    <t>Diciembre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</si>
  <si>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</si>
  <si>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</si>
  <si>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</si>
  <si>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</si>
  <si>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</si>
  <si>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</si>
  <si>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</si>
  <si>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</si>
  <si>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</si>
  <si>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</si>
  <si>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</si>
  <si>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c40dcd0a-2212-45b3-b5d4-2aac8818bdf9</t>
  </si>
  <si>
    <t>0f257e4c-3331-4e0e-869e-42c5a332a2a1</t>
  </si>
  <si>
    <t>3dcc043e-cebd-4562-843a-73004bc5a5fb</t>
  </si>
  <si>
    <t>ec860adc-defd-41d8-a89b-21d87b7ea128</t>
  </si>
  <si>
    <t>f60b893f-8aac-444a-b58c-711ee16b899d</t>
  </si>
  <si>
    <t>4665eec5-beab-4ad7-94aa-2367bd5ad522</t>
  </si>
  <si>
    <t>5c552dcf-ebef-4bfe-aee2-c4a6981c0f3a</t>
  </si>
  <si>
    <t>4c0d2b4b-0d3e-42de-af57-9305df4b2c02</t>
  </si>
  <si>
    <t>359216a7-8ba9-4e24-8cac-7dc225c9d6e1</t>
  </si>
  <si>
    <t>4768bece-ab83-433d-8e6e-3a9988dd03b1</t>
  </si>
  <si>
    <t>e6519542-cc79-4b71-bb1a-dedae13cc106</t>
  </si>
  <si>
    <t>8dc982a8-8e30-4eb7-905c-fb55c4175ca4</t>
  </si>
  <si>
    <t>1138e6b0-3b54-4f90-9461-f8f76393e615</t>
  </si>
  <si>
    <t>4d99141d-777f-42b8-9171-236b233bb4bf</t>
  </si>
  <si>
    <t>2aaff763-f744-410b-9718-249c5a655998</t>
  </si>
  <si>
    <t>6f8a6954-01b7-406a-a093-a2cdaaa92486</t>
  </si>
  <si>
    <t>27310f4f-85e3-4b88-a729-7ac95dafed90</t>
  </si>
  <si>
    <t>a015cb3c-59da-4d45-baab-1eb8c5a27b18</t>
  </si>
  <si>
    <t>30fd925e-19d9-44bd-8b5c-433df4f552c5</t>
  </si>
  <si>
    <t>0373883e-fcad-45c8-8bfa-d9a9fed06e62</t>
  </si>
  <si>
    <t>4a750489-eb15-410f-bb3c-6eb9865520f7</t>
  </si>
  <si>
    <t>63486b31-652f-4bf6-9624-2dded95ee588</t>
  </si>
  <si>
    <t>e75eaa65-dcd7-495b-9963-21e4793b7d6b</t>
  </si>
  <si>
    <t>d3d28afd-5f91-4852-8fec-fcfccbfe2f88</t>
  </si>
  <si>
    <t>02bc2bed-c436-414b-bec4-87348717f99f</t>
  </si>
  <si>
    <t>ad170f28-d2f4-44b9-8d89-c741ab0358f7</t>
  </si>
  <si>
    <t>8e4d74fa-ec72-4872-a04b-81c46e2fbd96</t>
  </si>
  <si>
    <t>3222d3e6-2b5b-4103-bc55-29e39c33ca84</t>
  </si>
  <si>
    <t>cac5cc64-81f9-466e-94ec-47be649d3deb</t>
  </si>
  <si>
    <t>d8bf72da-b904-40a1-aaa6-6daa1b9ff004</t>
  </si>
  <si>
    <t>16fbb6a2-d237-4dd2-8a6d-7bd76aa8645c</t>
  </si>
  <si>
    <t>01fb67ad-1898-47db-a814-5a658a723a89</t>
  </si>
  <si>
    <t>40f08409-f7a6-467c-8e53-1f5a9a143a9f</t>
  </si>
  <si>
    <t>b934fcd1-5390-4b7c-b3bc-4a642a1d7f9e</t>
  </si>
  <si>
    <t>a453002a-364d-498e-9097-955db383620d</t>
  </si>
  <si>
    <t>e5026bf5-3439-43f5-a430-a6f452320778</t>
  </si>
  <si>
    <t>1f5eb474-0cc5-4f59-bde6-8b6fb39d4b29</t>
  </si>
  <si>
    <t>4c98583b-658d-4d2e-816a-705f956fba8d</t>
  </si>
  <si>
    <t>f0fd51a6-8061-417f-ba26-419ba1697033</t>
  </si>
  <si>
    <t>e09f74db-f923-4e51-8bce-340da723f0cc</t>
  </si>
  <si>
    <t>0d8d157d-f9ab-4cd6-ac8a-7ed1a74a6746</t>
  </si>
  <si>
    <t>e39b3e8a-33b6-49ac-8fe8-f4ed22ad8b90</t>
  </si>
  <si>
    <t>1cd652ac-940f-4a69-a321-3f92483495db</t>
  </si>
  <si>
    <t>edf21768-caed-40a0-991e-289107b07c58</t>
  </si>
  <si>
    <t>9164c581-af94-48fd-8c20-5bddb475655f</t>
  </si>
  <si>
    <t>3c91b9e4-e30d-43c4-93ec-843b4e0debfe</t>
  </si>
  <si>
    <t>652336e7-90e6-4346-a1db-9c99b994afe6</t>
  </si>
  <si>
    <t>2eb39786-09e7-4dd1-ae3f-137c5bc86751</t>
  </si>
  <si>
    <t>7366f152-e5d2-44a3-8beb-4d85e5905cbc</t>
  </si>
  <si>
    <t>902883b7-2b53-41f8-9d1f-dae6135b4eb7</t>
  </si>
  <si>
    <t>09012b19-863a-4906-b34b-a89dcba8626e</t>
  </si>
  <si>
    <t>10424221-9e53-4f28-aea8-3549e2e43b87</t>
  </si>
  <si>
    <t>10959edc-7e2c-4e4e-b5ee-d6bdac93ae9e</t>
  </si>
  <si>
    <t>02c61008-4e84-43c2-88b5-08e054eb6049</t>
  </si>
  <si>
    <t>165e1685-0b5f-46a9-8720-08682265922b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</si>
</sst>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6" formatCode="_-&quot;$&quot;\ * #,##0_-;\-&quot;$&quot;\ * #,##0_-;_-&quot;$&quot;\ * &quot;-&quot;??_-;_-@_-"/>
    <numFmt numFmtId="170" formatCode="[$-240A]d&quot; de &quot;mmmm&quot; de &quot;yyyy;@"/>
    <numFmt numFmtId="172" formatCode="d/mm/yyyy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8">
    <xf numFmtId="0" fontId="0" fillId="0" borderId="0" xfId="0"/>
    <xf numFmtId="44" fontId="0" fillId="0" borderId="0" xfId="1" applyFont="1"/>
    <xf numFmtId="166" fontId="0" fillId="0" borderId="0" xfId="1" applyNumberFormat="1" applyFont="1"/>
    <xf numFmtId="14" fontId="0" fillId="0" borderId="0" xfId="0" applyNumberFormat="1"/>
    <xf numFmtId="0" fontId="0" fillId="0" borderId="1" xfId="0" applyBorder="1"/>
    <xf numFmtId="0" fontId="0" fillId="0" borderId="0" xfId="0" pivotButton="1"/>
    <xf numFmtId="14" fontId="0" fillId="0" borderId="0" xfId="0" applyNumberFormat="1" applyAlignment="1">
      <alignment horizontal="left"/>
    </xf>
    <xf numFmtId="166" fontId="0" fillId="0" borderId="0" xfId="0" applyNumberFormat="1"/>
    <xf numFmtId="0" fontId="0" fillId="0" borderId="0" xfId="0" applyAlignment="1">
      <alignment horizontal="left"/>
    </xf>
    <xf numFmtId="166" fontId="2" fillId="0" borderId="0" xfId="1" applyNumberFormat="1" applyFont="1"/>
    <xf numFmtId="170" fontId="0" fillId="0" borderId="0" xfId="0" applyNumberFormat="1"/>
    <xf numFmtId="0" fontId="0" fillId="0" borderId="0" xfId="0" applyAlignment="1">
      <alignment horizontal="left" indent="1"/>
    </xf>
    <xf numFmtId="172" fontId="0" fillId="0" borderId="0" xfId="0" applyNumberFormat="1"/>
    <xf numFmtId="170" fontId="0" fillId="0" borderId="0" xfId="0" applyNumberFormat="1" applyAlignment="1">
      <alignment horizontal="left"/>
    </xf>
    <xf numFmtId="166" fontId="3" fillId="0" borderId="0" xfId="1" applyNumberFormat="1" applyFont="1"/>
    <xf numFmtId="0" fontId="0" fillId="0" borderId="0" xfId="1" applyNumberFormat="1" applyFont="1"/>
    <xf numFmtId="14" fontId="0" fillId="0" borderId="0" xfId="0" applyNumberFormat="1" applyAlignment="1">
      <alignment horizontal="left" indent="2"/>
    </xf>
    <xf numFmtId="11" fontId="0" fillId="0" borderId="0" xfId="0" applyNumberFormat="1"/>
  </cellXfs>
  <cellStyles count="2">
    <cellStyle name="Moneda" xfId="1" builtinId="4"/>
    <cellStyle name="Normal" xfId="0" builtinId="0"/>
  </cellStyles>
  <dxfs count="11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numFmt numFmtId="170" formatCode="[$-240A]d&quot; de &quot;mmmm&quot; de &quot;yy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-&quot;$&quot;\ * #,##0_-;\-&quot;$&quot;\ * #,##0_-;_-&quot;$&quot;\ * &quot;-&quot;??_-;_-@_-"/>
    </dxf>
    <dxf>
      <numFmt numFmtId="170" formatCode="[$-240A]d&quot; de &quot;mmmm&quot; de &quot;yyyy;@"/>
    </dxf>
    <dxf>
      <numFmt numFmtId="19" formatCode="d/mm/yyyy"/>
    </dxf>
    <dxf>
      <numFmt numFmtId="19" formatCode="d/mm/yyyy"/>
    </dxf>
    <dxf>
      <numFmt numFmtId="166" formatCode="_-&quot;$&quot;\ * #,##0_-;\-&quot;$&quot;\ * #,##0_-;_-&quot;$&quot;\ * &quot;-&quot;??_-;_-@_-"/>
    </dxf>
    <dxf>
      <numFmt numFmtId="166" formatCode="_-&quot;$&quot;\ * #,##0_-;\-&quot;$&quot;\ * #,##0_-;_-&quot;$&quot;\ * &quot;-&quot;??_-;_-@_-"/>
    </dxf>
    <dxf>
      <numFmt numFmtId="166" formatCode="_-&quot;$&quot;\ * #,##0_-;\-&quot;$&quot;\ * #,##0_-;_-&quot;$&quot;\ * &quot;-&quot;??_-;_-@_-"/>
    </dxf>
    <dxf>
      <numFmt numFmtId="166" formatCode="_-&quot;$&quot;\ * #,##0_-;\-&quot;$&quot;\ * #,##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2.xml"/><Relationship Id="rId10" Type="http://schemas.openxmlformats.org/officeDocument/2006/relationships/sheetMetadata" Target="metadata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uricio Martinez" refreshedDate="46035.878495486111" createdVersion="8" refreshedVersion="8" minRefreshableVersion="3" recordCount="184" xr:uid="{DD1A54ED-322A-4406-8704-D43D773FB08E}">
  <cacheSource type="worksheet">
    <worksheetSource name="Tabla2"/>
  </cacheSource>
  <cacheFields count="8">
    <cacheField name="FECHA" numFmtId="170">
      <sharedItems containsSemiMixedTypes="0" containsNonDate="0" containsDate="1" containsString="0" minDate="2025-01-10T00:00:00" maxDate="2026-01-10T00:00:00" count="13">
        <d v="2025-01-10T00:00:00"/>
        <d v="2025-02-10T00:00:00"/>
        <d v="2025-03-14T00:00:00"/>
        <d v="2025-04-08T00:00:00"/>
        <d v="2025-05-09T00:00:00"/>
        <d v="2025-06-27T00:00:00"/>
        <d v="2025-07-08T00:00:00"/>
        <d v="2025-08-08T00:00:00"/>
        <d v="2025-09-10T00:00:00"/>
        <d v="2025-10-09T00:00:00"/>
        <d v="2025-11-08T00:00:00"/>
        <d v="2025-12-11T00:00:00"/>
        <d v="2026-01-09T00:00:00"/>
      </sharedItems>
    </cacheField>
    <cacheField name="EDIFICIO" numFmtId="0">
      <sharedItems count="4">
        <s v="Edificio 1 gaitán"/>
        <s v="Edificio 2 gaitán"/>
        <s v="Edificio 3 gaitán"/>
        <s v="Edificio manantial"/>
      </sharedItems>
    </cacheField>
    <cacheField name="PISO" numFmtId="0">
      <sharedItems containsSemiMixedTypes="0" containsString="0" containsNumber="1" containsInteger="1" minValue="1" maxValue="4"/>
    </cacheField>
    <cacheField name="NOMBRE PROPIETARIO" numFmtId="0">
      <sharedItems containsBlank="1"/>
    </cacheField>
    <cacheField name="VALOR" numFmtId="166">
      <sharedItems containsSemiMixedTypes="0" containsString="0" containsNumber="1" containsInteger="1" minValue="0" maxValue="850000"/>
    </cacheField>
    <cacheField name="CUOTA ADMINISTRACION" numFmtId="166">
      <sharedItems containsSemiMixedTypes="0" containsString="0" containsNumber="1" containsInteger="1" minValue="0" maxValue="83000"/>
    </cacheField>
    <cacheField name="FONDO INMUEBLE" numFmtId="166">
      <sharedItems containsSemiMixedTypes="0" containsString="0" containsNumber="1" containsInteger="1" minValue="0" maxValue="20000"/>
    </cacheField>
    <cacheField name="TOTAL" numFmtId="166">
      <sharedItems containsSemiMixedTypes="0" containsString="0" containsNumber="1" containsInteger="1" minValue="0" maxValue="747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uricio Martinez" refreshedDate="46035.894515972221" createdVersion="8" refreshedVersion="8" minRefreshableVersion="3" recordCount="55" xr:uid="{F7E95D90-EA2B-409B-BA1A-1AEC9F46B756}">
  <cacheSource type="worksheet">
    <worksheetSource name="Tabla3"/>
  </cacheSource>
  <cacheFields count="13">
    <cacheField name="ID" numFmtId="0">
      <sharedItems containsSemiMixedTypes="0" containsString="0" containsNumber="1" containsInteger="1" minValue="1" maxValue="55" count="55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</sharedItems>
    </cacheField>
    <cacheField name="Nombre" numFmtId="0">
      <sharedItems count="20">
        <s v="Liliana"/>
        <s v="Daniela"/>
        <s v="Orlenys"/>
        <s v="Gustavo"/>
        <s v="Henry"/>
        <s v="Luz"/>
        <s v="Evelyn"/>
        <s v="Melisa"/>
        <s v="Ana"/>
        <s v="Daniel"/>
        <s v="Jaiver"/>
        <s v="Yelisa"/>
        <s v="Bleikes"/>
        <s v="Yadeisy"/>
        <s v="Angelica"/>
        <s v="Carlos Rios"/>
        <s v="Yuranis"/>
        <s v="Juan Olmos"/>
        <s v="Victor"/>
        <s v="Johana"/>
      </sharedItems>
    </cacheField>
    <cacheField name="Edificio" numFmtId="0">
      <sharedItems/>
    </cacheField>
    <cacheField name="Piso" numFmtId="0">
      <sharedItems containsSemiMixedTypes="0" containsString="0" containsNumber="1" containsInteger="1" minValue="1" maxValue="4"/>
    </cacheField>
    <cacheField name="Fecha inicio" numFmtId="14">
      <sharedItems containsSemiMixedTypes="0" containsNonDate="0" containsDate="1" containsString="0" minDate="2019-05-09T00:00:00" maxDate="2026-01-12T00:00:00" count="52">
        <d v="2026-01-11T00:00:00"/>
        <d v="2025-12-06T00:00:00"/>
        <d v="2025-11-21T00:00:00"/>
        <d v="2025-11-09T00:00:00"/>
        <d v="2025-11-02T00:00:00"/>
        <d v="2025-10-12T00:00:00"/>
        <d v="2025-09-30T00:00:00"/>
        <d v="2025-09-25T00:00:00"/>
        <d v="2025-09-21T00:00:00"/>
        <d v="2025-09-04T00:00:00"/>
        <d v="2025-08-22T00:00:00"/>
        <d v="2025-08-15T00:00:00"/>
        <d v="2025-07-29T00:00:00"/>
        <d v="2025-07-11T00:00:00"/>
        <d v="2025-05-09T00:00:00"/>
        <d v="2025-05-02T00:00:00"/>
        <d v="2025-04-12T00:00:00"/>
        <d v="2025-03-25T00:00:00"/>
        <d v="2025-03-21T00:00:00"/>
        <d v="2025-03-04T00:00:00"/>
        <d v="2025-01-29T00:00:00"/>
        <d v="2024-11-09T00:00:00"/>
        <d v="2024-11-08T00:00:00"/>
        <d v="2024-11-02T00:00:00"/>
        <d v="2024-10-12T00:00:00"/>
        <d v="2024-09-25T00:00:00"/>
        <d v="2024-09-10T00:00:00"/>
        <d v="2024-09-04T00:00:00"/>
        <d v="2024-08-01T00:00:00"/>
        <d v="2024-07-29T00:00:00"/>
        <d v="2024-06-19T00:00:00"/>
        <d v="2024-05-09T00:00:00"/>
        <d v="2024-05-02T00:00:00"/>
        <d v="2024-04-12T00:00:00"/>
        <d v="2024-03-25T00:00:00"/>
        <d v="2024-02-08T00:00:00"/>
        <d v="2024-01-29T00:00:00"/>
        <d v="2023-11-15T00:00:00"/>
        <d v="2023-11-09T00:00:00"/>
        <d v="2023-09-25T00:00:00"/>
        <d v="2023-07-29T00:00:00"/>
        <d v="2023-05-09T00:00:00"/>
        <d v="2023-03-25T00:00:00"/>
        <d v="2022-12-29T00:00:00"/>
        <d v="2022-11-09T00:00:00"/>
        <d v="2022-05-09T00:00:00"/>
        <d v="2021-11-09T00:00:00"/>
        <d v="2021-05-09T00:00:00"/>
        <d v="2020-11-09T00:00:00"/>
        <d v="2020-05-09T00:00:00"/>
        <d v="2019-11-09T00:00:00"/>
        <d v="2019-05-09T00:00:00"/>
      </sharedItems>
      <fieldGroup par="9"/>
    </cacheField>
    <cacheField name="Fecha fin" numFmtId="14">
      <sharedItems containsSemiMixedTypes="0" containsNonDate="0" containsDate="1" containsString="0" minDate="2019-11-09T00:00:00" maxDate="2026-07-12T00:00:00" count="52">
        <d v="2026-07-11T00:00:00"/>
        <d v="2026-06-06T00:00:00"/>
        <d v="2026-05-21T00:00:00"/>
        <d v="2026-05-09T00:00:00"/>
        <d v="2026-05-02T00:00:00"/>
        <d v="2026-04-12T00:00:00"/>
        <d v="2026-03-30T00:00:00"/>
        <d v="2026-03-25T00:00:00"/>
        <d v="2026-03-21T00:00:00"/>
        <d v="2026-03-04T00:00:00"/>
        <d v="2026-02-22T00:00:00"/>
        <d v="2026-02-15T00:00:00"/>
        <d v="2026-01-29T00:00:00"/>
        <d v="2026-01-11T00:00:00"/>
        <d v="2025-11-09T00:00:00"/>
        <d v="2025-11-02T00:00:00"/>
        <d v="2025-10-12T00:00:00"/>
        <d v="2025-09-25T00:00:00"/>
        <d v="2025-09-21T00:00:00"/>
        <d v="2025-09-04T00:00:00"/>
        <d v="2025-07-29T00:00:00"/>
        <d v="2025-05-09T00:00:00"/>
        <d v="2025-05-08T00:00:00"/>
        <d v="2025-05-02T00:00:00"/>
        <d v="2025-04-12T00:00:00"/>
        <d v="2025-03-25T00:00:00"/>
        <d v="2025-03-10T00:00:00"/>
        <d v="2025-03-04T00:00:00"/>
        <d v="2025-02-01T00:00:00"/>
        <d v="2025-01-29T00:00:00"/>
        <d v="2024-12-19T00:00:00"/>
        <d v="2024-11-09T00:00:00"/>
        <d v="2024-11-02T00:00:00"/>
        <d v="2024-10-12T00:00:00"/>
        <d v="2024-09-25T00:00:00"/>
        <d v="2024-08-08T00:00:00"/>
        <d v="2024-07-29T00:00:00"/>
        <d v="2024-05-15T00:00:00"/>
        <d v="2024-05-09T00:00:00"/>
        <d v="2024-03-25T00:00:00"/>
        <d v="2024-01-29T00:00:00"/>
        <d v="2023-11-09T00:00:00"/>
        <d v="2023-09-25T00:00:00"/>
        <d v="2023-06-29T00:00:00"/>
        <d v="2023-05-09T00:00:00"/>
        <d v="2022-11-09T00:00:00"/>
        <d v="2022-05-09T00:00:00"/>
        <d v="2021-11-09T00:00:00"/>
        <d v="2021-05-09T00:00:00"/>
        <d v="2020-11-09T00:00:00"/>
        <d v="2020-05-09T00:00:00"/>
        <d v="2019-11-09T00:00:00"/>
      </sharedItems>
      <fieldGroup par="12"/>
    </cacheField>
    <cacheField name="Activo" numFmtId="0">
      <sharedItems/>
    </cacheField>
    <cacheField name="Meses (Fecha inicio)" numFmtId="0" databaseField="0">
      <fieldGroup base="4">
        <rangePr groupBy="months" startDate="2019-05-09T00:00:00" endDate="2026-01-12T00:00:00"/>
        <groupItems count="14">
          <s v="&lt;9/05/2019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2/01/2026"/>
        </groupItems>
      </fieldGroup>
    </cacheField>
    <cacheField name="Trimestres (Fecha inicio)" numFmtId="0" databaseField="0">
      <fieldGroup base="4">
        <rangePr groupBy="quarters" startDate="2019-05-09T00:00:00" endDate="2026-01-12T00:00:00"/>
        <groupItems count="6">
          <s v="&lt;9/05/2019"/>
          <s v="Trim.1"/>
          <s v="Trim.2"/>
          <s v="Trim.3"/>
          <s v="Trim.4"/>
          <s v="&gt;12/01/2026"/>
        </groupItems>
      </fieldGroup>
    </cacheField>
    <cacheField name="Años (Fecha inicio)" numFmtId="0" databaseField="0">
      <fieldGroup base="4">
        <rangePr groupBy="years" startDate="2019-05-09T00:00:00" endDate="2026-01-12T00:00:00"/>
        <groupItems count="10">
          <s v="&lt;9/05/2019"/>
          <s v="2019"/>
          <s v="2020"/>
          <s v="2021"/>
          <s v="2022"/>
          <s v="2023"/>
          <s v="2024"/>
          <s v="2025"/>
          <s v="2026"/>
          <s v="&gt;12/01/2026"/>
        </groupItems>
      </fieldGroup>
    </cacheField>
    <cacheField name="Meses (Fecha fin)" numFmtId="0" databaseField="0">
      <fieldGroup base="5">
        <rangePr groupBy="months" startDate="2019-11-09T00:00:00" endDate="2026-07-12T00:00:00"/>
        <groupItems count="14">
          <s v="&lt;9/11/2019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2/07/2026"/>
        </groupItems>
      </fieldGroup>
    </cacheField>
    <cacheField name="Trimestres (Fecha fin)" numFmtId="0" databaseField="0">
      <fieldGroup base="5">
        <rangePr groupBy="quarters" startDate="2019-11-09T00:00:00" endDate="2026-07-12T00:00:00"/>
        <groupItems count="6">
          <s v="&lt;9/11/2019"/>
          <s v="Trim.1"/>
          <s v="Trim.2"/>
          <s v="Trim.3"/>
          <s v="Trim.4"/>
          <s v="&gt;12/07/2026"/>
        </groupItems>
      </fieldGroup>
    </cacheField>
    <cacheField name="Años (Fecha fin)" numFmtId="0" databaseField="0">
      <fieldGroup base="5">
        <rangePr groupBy="years" startDate="2019-11-09T00:00:00" endDate="2026-07-12T00:00:00"/>
        <groupItems count="10">
          <s v="&lt;9/11/2019"/>
          <s v="2019"/>
          <s v="2020"/>
          <s v="2021"/>
          <s v="2022"/>
          <s v="2023"/>
          <s v="2024"/>
          <s v="2025"/>
          <s v="2026"/>
          <s v="&gt;12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">
  <r>
    <x v="0"/>
    <x v="0"/>
    <n v="1"/>
    <s v="Ana"/>
    <n v="700000"/>
    <n v="68000"/>
    <n v="20000"/>
    <n v="612000"/>
  </r>
  <r>
    <x v="0"/>
    <x v="0"/>
    <n v="2"/>
    <s v="Luz"/>
    <n v="630000"/>
    <n v="61000"/>
    <n v="20000"/>
    <n v="549000"/>
  </r>
  <r>
    <x v="0"/>
    <x v="0"/>
    <n v="3"/>
    <s v="Gustavo"/>
    <n v="600000"/>
    <n v="60000"/>
    <n v="0"/>
    <n v="540000"/>
  </r>
  <r>
    <x v="0"/>
    <x v="1"/>
    <n v="1"/>
    <s v="Johana"/>
    <n v="732100"/>
    <n v="71210"/>
    <n v="20000"/>
    <n v="640890"/>
  </r>
  <r>
    <x v="0"/>
    <x v="1"/>
    <n v="2"/>
    <s v="Victor"/>
    <n v="688000"/>
    <n v="66800"/>
    <n v="20000"/>
    <n v="601200"/>
  </r>
  <r>
    <x v="0"/>
    <x v="1"/>
    <n v="3"/>
    <s v="Melissa"/>
    <n v="601000"/>
    <n v="58000"/>
    <n v="20000"/>
    <n v="523000"/>
  </r>
  <r>
    <x v="0"/>
    <x v="2"/>
    <n v="1"/>
    <s v="Juan Olmos"/>
    <n v="780000"/>
    <n v="76000"/>
    <n v="20000"/>
    <n v="684000"/>
  </r>
  <r>
    <x v="0"/>
    <x v="2"/>
    <n v="2"/>
    <s v="Bleikes"/>
    <n v="764000"/>
    <n v="74400"/>
    <n v="20000"/>
    <n v="669600"/>
  </r>
  <r>
    <x v="0"/>
    <x v="2"/>
    <n v="3"/>
    <s v="Angelica"/>
    <n v="700000"/>
    <n v="68000"/>
    <n v="20000"/>
    <n v="612000"/>
  </r>
  <r>
    <x v="0"/>
    <x v="2"/>
    <n v="4"/>
    <s v="Yuranis"/>
    <n v="620000"/>
    <n v="60000"/>
    <n v="20000"/>
    <n v="540000"/>
  </r>
  <r>
    <x v="0"/>
    <x v="3"/>
    <n v="1"/>
    <s v="Henry"/>
    <n v="660000"/>
    <n v="64000"/>
    <n v="20000"/>
    <n v="576000"/>
  </r>
  <r>
    <x v="0"/>
    <x v="3"/>
    <n v="2"/>
    <s v="Yadeisy"/>
    <n v="670000"/>
    <n v="65000"/>
    <n v="20000"/>
    <n v="585000"/>
  </r>
  <r>
    <x v="0"/>
    <x v="3"/>
    <n v="3"/>
    <s v="Carlos Rios"/>
    <n v="650000"/>
    <n v="63000"/>
    <n v="20000"/>
    <n v="567000"/>
  </r>
  <r>
    <x v="0"/>
    <x v="3"/>
    <n v="4"/>
    <s v="Daniel"/>
    <n v="600000"/>
    <n v="58000"/>
    <n v="20000"/>
    <n v="522000"/>
  </r>
  <r>
    <x v="1"/>
    <x v="0"/>
    <n v="1"/>
    <s v="Ana"/>
    <n v="700000"/>
    <n v="68000"/>
    <n v="20000"/>
    <n v="612000"/>
  </r>
  <r>
    <x v="1"/>
    <x v="0"/>
    <n v="2"/>
    <s v="Luz"/>
    <n v="630000"/>
    <n v="61000"/>
    <n v="20000"/>
    <n v="549000"/>
  </r>
  <r>
    <x v="1"/>
    <x v="0"/>
    <n v="3"/>
    <s v="Gustavo"/>
    <n v="600000"/>
    <n v="60000"/>
    <n v="0"/>
    <n v="540000"/>
  </r>
  <r>
    <x v="1"/>
    <x v="1"/>
    <n v="1"/>
    <s v="Johana"/>
    <n v="732100"/>
    <n v="71210"/>
    <n v="20000"/>
    <n v="640890"/>
  </r>
  <r>
    <x v="1"/>
    <x v="1"/>
    <n v="2"/>
    <s v="Victor"/>
    <n v="688000"/>
    <n v="66800"/>
    <n v="20000"/>
    <n v="601200"/>
  </r>
  <r>
    <x v="1"/>
    <x v="1"/>
    <n v="3"/>
    <s v="Melissa"/>
    <n v="601000"/>
    <n v="58000"/>
    <n v="20000"/>
    <n v="523000"/>
  </r>
  <r>
    <x v="1"/>
    <x v="2"/>
    <n v="1"/>
    <s v="Juan Olmos"/>
    <n v="780000"/>
    <n v="76000"/>
    <n v="20000"/>
    <n v="684000"/>
  </r>
  <r>
    <x v="1"/>
    <x v="2"/>
    <n v="2"/>
    <s v="Bleikes"/>
    <n v="764000"/>
    <n v="74400"/>
    <n v="20000"/>
    <n v="669600"/>
  </r>
  <r>
    <x v="1"/>
    <x v="2"/>
    <n v="3"/>
    <s v="Angelica"/>
    <n v="700000"/>
    <n v="68000"/>
    <n v="20000"/>
    <n v="612000"/>
  </r>
  <r>
    <x v="1"/>
    <x v="2"/>
    <n v="4"/>
    <s v="Yuranis"/>
    <n v="620000"/>
    <n v="60000"/>
    <n v="20000"/>
    <n v="540000"/>
  </r>
  <r>
    <x v="1"/>
    <x v="3"/>
    <n v="1"/>
    <s v="Henry"/>
    <n v="660000"/>
    <n v="64000"/>
    <n v="20000"/>
    <n v="576000"/>
  </r>
  <r>
    <x v="1"/>
    <x v="3"/>
    <n v="2"/>
    <s v="Yadeisy"/>
    <n v="670000"/>
    <n v="65000"/>
    <n v="20000"/>
    <n v="585000"/>
  </r>
  <r>
    <x v="1"/>
    <x v="3"/>
    <n v="3"/>
    <s v="Carlos Rios"/>
    <n v="650000"/>
    <n v="63000"/>
    <n v="20000"/>
    <n v="567000"/>
  </r>
  <r>
    <x v="1"/>
    <x v="3"/>
    <n v="4"/>
    <s v="Daniel"/>
    <n v="600000"/>
    <n v="58000"/>
    <n v="20000"/>
    <n v="522000"/>
  </r>
  <r>
    <x v="2"/>
    <x v="0"/>
    <n v="1"/>
    <s v="Ana"/>
    <n v="700000"/>
    <n v="68000"/>
    <n v="20000"/>
    <n v="612000"/>
  </r>
  <r>
    <x v="2"/>
    <x v="0"/>
    <n v="1"/>
    <s v="Ana"/>
    <n v="233000"/>
    <n v="0"/>
    <n v="0"/>
    <n v="233000"/>
  </r>
  <r>
    <x v="2"/>
    <x v="0"/>
    <n v="2"/>
    <s v="Luz"/>
    <n v="630000"/>
    <n v="61000"/>
    <n v="20000"/>
    <n v="549000"/>
  </r>
  <r>
    <x v="2"/>
    <x v="0"/>
    <n v="3"/>
    <s v="Gustavo"/>
    <n v="600000"/>
    <n v="60000"/>
    <n v="0"/>
    <n v="540000"/>
  </r>
  <r>
    <x v="2"/>
    <x v="1"/>
    <n v="1"/>
    <s v="Johana"/>
    <n v="732100"/>
    <n v="71210"/>
    <n v="20000"/>
    <n v="640890"/>
  </r>
  <r>
    <x v="2"/>
    <x v="1"/>
    <n v="2"/>
    <s v="Victor"/>
    <n v="688000"/>
    <n v="66800"/>
    <n v="20000"/>
    <n v="601200"/>
  </r>
  <r>
    <x v="2"/>
    <x v="1"/>
    <n v="3"/>
    <s v="Melissa"/>
    <n v="601000"/>
    <n v="58000"/>
    <n v="20000"/>
    <n v="523000"/>
  </r>
  <r>
    <x v="2"/>
    <x v="2"/>
    <n v="1"/>
    <s v="Juan Olmos"/>
    <n v="820000"/>
    <n v="80000"/>
    <n v="20000"/>
    <n v="720000"/>
  </r>
  <r>
    <x v="2"/>
    <x v="2"/>
    <n v="2"/>
    <s v="Bleikes"/>
    <n v="764000"/>
    <n v="74400"/>
    <n v="20000"/>
    <n v="669600"/>
  </r>
  <r>
    <x v="2"/>
    <x v="2"/>
    <n v="3"/>
    <s v="Angelica"/>
    <n v="700000"/>
    <n v="68000"/>
    <n v="20000"/>
    <n v="612000"/>
  </r>
  <r>
    <x v="2"/>
    <x v="2"/>
    <n v="4"/>
    <s v="Yuranis"/>
    <n v="620000"/>
    <n v="60000"/>
    <n v="20000"/>
    <n v="540000"/>
  </r>
  <r>
    <x v="2"/>
    <x v="3"/>
    <n v="1"/>
    <s v="Henry"/>
    <n v="660000"/>
    <n v="64000"/>
    <n v="20000"/>
    <n v="576000"/>
  </r>
  <r>
    <x v="2"/>
    <x v="3"/>
    <n v="2"/>
    <s v="Yadeisy"/>
    <n v="670000"/>
    <n v="65000"/>
    <n v="20000"/>
    <n v="585000"/>
  </r>
  <r>
    <x v="2"/>
    <x v="3"/>
    <n v="3"/>
    <s v="Carlos Rios"/>
    <n v="650000"/>
    <n v="63000"/>
    <n v="20000"/>
    <n v="567000"/>
  </r>
  <r>
    <x v="2"/>
    <x v="3"/>
    <n v="4"/>
    <s v="Daniel"/>
    <n v="600000"/>
    <n v="58000"/>
    <n v="20000"/>
    <n v="522000"/>
  </r>
  <r>
    <x v="3"/>
    <x v="0"/>
    <n v="1"/>
    <s v="Ana"/>
    <n v="700000"/>
    <n v="68000"/>
    <n v="20000"/>
    <n v="612000"/>
  </r>
  <r>
    <x v="3"/>
    <x v="0"/>
    <n v="2"/>
    <s v="Luz"/>
    <n v="630000"/>
    <n v="61000"/>
    <n v="20000"/>
    <n v="549000"/>
  </r>
  <r>
    <x v="3"/>
    <x v="0"/>
    <n v="3"/>
    <s v="Gustavo"/>
    <n v="600000"/>
    <n v="60000"/>
    <n v="0"/>
    <n v="540000"/>
  </r>
  <r>
    <x v="3"/>
    <x v="1"/>
    <n v="1"/>
    <s v="Johana"/>
    <n v="732100"/>
    <n v="71210"/>
    <n v="20000"/>
    <n v="640890"/>
  </r>
  <r>
    <x v="3"/>
    <x v="1"/>
    <n v="2"/>
    <s v="Victor"/>
    <n v="688000"/>
    <n v="66800"/>
    <n v="20000"/>
    <n v="601200"/>
  </r>
  <r>
    <x v="3"/>
    <x v="1"/>
    <n v="3"/>
    <s v="Melissa"/>
    <n v="632200"/>
    <n v="61220"/>
    <n v="20000"/>
    <n v="550980"/>
  </r>
  <r>
    <x v="3"/>
    <x v="2"/>
    <n v="1"/>
    <s v="Juan Olmos"/>
    <n v="820000"/>
    <n v="80000"/>
    <n v="20000"/>
    <n v="720000"/>
  </r>
  <r>
    <x v="3"/>
    <x v="2"/>
    <n v="2"/>
    <s v="Bleikes"/>
    <n v="764000"/>
    <n v="74400"/>
    <n v="20000"/>
    <n v="669600"/>
  </r>
  <r>
    <x v="3"/>
    <x v="2"/>
    <n v="3"/>
    <s v="Angelica"/>
    <n v="700000"/>
    <n v="68000"/>
    <n v="20000"/>
    <n v="612000"/>
  </r>
  <r>
    <x v="3"/>
    <x v="2"/>
    <n v="4"/>
    <s v="Yuranis"/>
    <n v="620000"/>
    <n v="60000"/>
    <n v="20000"/>
    <n v="540000"/>
  </r>
  <r>
    <x v="3"/>
    <x v="3"/>
    <n v="1"/>
    <s v="Henry"/>
    <n v="660000"/>
    <n v="64000"/>
    <n v="20000"/>
    <n v="576000"/>
  </r>
  <r>
    <x v="3"/>
    <x v="3"/>
    <n v="2"/>
    <s v="Yadeisy"/>
    <n v="670000"/>
    <n v="65000"/>
    <n v="20000"/>
    <n v="585000"/>
  </r>
  <r>
    <x v="3"/>
    <x v="3"/>
    <n v="3"/>
    <s v="Carlos Rios"/>
    <n v="650000"/>
    <n v="63000"/>
    <n v="20000"/>
    <n v="567000"/>
  </r>
  <r>
    <x v="3"/>
    <x v="3"/>
    <n v="4"/>
    <s v="Daniel"/>
    <n v="600000"/>
    <n v="58000"/>
    <n v="20000"/>
    <n v="522000"/>
  </r>
  <r>
    <x v="4"/>
    <x v="0"/>
    <n v="1"/>
    <s v="Ana"/>
    <n v="700000"/>
    <n v="68000"/>
    <n v="20000"/>
    <n v="612000"/>
  </r>
  <r>
    <x v="4"/>
    <x v="0"/>
    <n v="2"/>
    <s v="Luz"/>
    <n v="662700"/>
    <n v="64270"/>
    <n v="20000"/>
    <n v="578430"/>
  </r>
  <r>
    <x v="4"/>
    <x v="0"/>
    <n v="3"/>
    <s v="Gustavo"/>
    <n v="600000"/>
    <n v="60000"/>
    <n v="0"/>
    <n v="540000"/>
  </r>
  <r>
    <x v="4"/>
    <x v="1"/>
    <n v="1"/>
    <s v="Johana"/>
    <n v="732100"/>
    <n v="71210"/>
    <n v="20000"/>
    <n v="640890"/>
  </r>
  <r>
    <x v="4"/>
    <x v="1"/>
    <n v="2"/>
    <s v="Victor"/>
    <n v="688000"/>
    <n v="66800"/>
    <n v="20000"/>
    <n v="601200"/>
  </r>
  <r>
    <x v="4"/>
    <x v="1"/>
    <n v="3"/>
    <s v="Melissa"/>
    <n v="632200"/>
    <n v="61220"/>
    <n v="20000"/>
    <n v="550980"/>
  </r>
  <r>
    <x v="4"/>
    <x v="2"/>
    <n v="1"/>
    <s v="Juan Olmos"/>
    <n v="820000"/>
    <n v="80000"/>
    <n v="20000"/>
    <n v="720000"/>
  </r>
  <r>
    <x v="4"/>
    <x v="2"/>
    <n v="2"/>
    <s v="Bleikes"/>
    <n v="764000"/>
    <n v="74400"/>
    <n v="20000"/>
    <n v="669600"/>
  </r>
  <r>
    <x v="4"/>
    <x v="2"/>
    <n v="3"/>
    <s v="Angelica"/>
    <n v="700000"/>
    <n v="68000"/>
    <n v="20000"/>
    <n v="612000"/>
  </r>
  <r>
    <x v="4"/>
    <x v="2"/>
    <n v="4"/>
    <s v="Yuranis"/>
    <n v="620000"/>
    <n v="60000"/>
    <n v="20000"/>
    <n v="540000"/>
  </r>
  <r>
    <x v="4"/>
    <x v="3"/>
    <n v="1"/>
    <s v="Henry"/>
    <n v="660000"/>
    <n v="64000"/>
    <n v="20000"/>
    <n v="576000"/>
  </r>
  <r>
    <x v="4"/>
    <x v="3"/>
    <n v="2"/>
    <s v="Yadeisy"/>
    <n v="670000"/>
    <n v="65000"/>
    <n v="20000"/>
    <n v="585000"/>
  </r>
  <r>
    <x v="4"/>
    <x v="3"/>
    <n v="3"/>
    <s v="Carlos Rios"/>
    <n v="650000"/>
    <n v="63000"/>
    <n v="20000"/>
    <n v="567000"/>
  </r>
  <r>
    <x v="4"/>
    <x v="3"/>
    <n v="4"/>
    <s v="Daniel"/>
    <n v="600000"/>
    <n v="58000"/>
    <n v="20000"/>
    <n v="522000"/>
  </r>
  <r>
    <x v="5"/>
    <x v="0"/>
    <n v="1"/>
    <s v="Ana"/>
    <n v="700000"/>
    <n v="68000"/>
    <n v="20000"/>
    <n v="612000"/>
  </r>
  <r>
    <x v="5"/>
    <x v="0"/>
    <n v="2"/>
    <s v="Luz"/>
    <n v="662700"/>
    <n v="64270"/>
    <n v="20000"/>
    <n v="578430"/>
  </r>
  <r>
    <x v="5"/>
    <x v="0"/>
    <n v="3"/>
    <s v="Gustavo"/>
    <n v="631200"/>
    <n v="63120"/>
    <n v="0"/>
    <n v="568080"/>
  </r>
  <r>
    <x v="5"/>
    <x v="1"/>
    <n v="1"/>
    <s v="Johana"/>
    <n v="732100"/>
    <n v="71210"/>
    <n v="20000"/>
    <n v="640890"/>
  </r>
  <r>
    <x v="5"/>
    <x v="1"/>
    <n v="2"/>
    <s v="Victor"/>
    <n v="688000"/>
    <n v="66800"/>
    <n v="20000"/>
    <n v="601200"/>
  </r>
  <r>
    <x v="5"/>
    <x v="1"/>
    <n v="3"/>
    <s v="Melissa"/>
    <n v="632200"/>
    <n v="61220"/>
    <n v="20000"/>
    <n v="550980"/>
  </r>
  <r>
    <x v="5"/>
    <x v="2"/>
    <n v="1"/>
    <s v="Juan Olmos"/>
    <n v="820000"/>
    <n v="80000"/>
    <n v="20000"/>
    <n v="720000"/>
  </r>
  <r>
    <x v="5"/>
    <x v="2"/>
    <n v="2"/>
    <s v="Bleikes"/>
    <n v="764000"/>
    <n v="74400"/>
    <n v="20000"/>
    <n v="669600"/>
  </r>
  <r>
    <x v="5"/>
    <x v="2"/>
    <n v="3"/>
    <s v="Angelica"/>
    <n v="700000"/>
    <n v="68000"/>
    <n v="20000"/>
    <n v="612000"/>
  </r>
  <r>
    <x v="5"/>
    <x v="2"/>
    <n v="4"/>
    <s v="Yuranis"/>
    <n v="620000"/>
    <n v="60000"/>
    <n v="20000"/>
    <n v="540000"/>
  </r>
  <r>
    <x v="5"/>
    <x v="3"/>
    <n v="1"/>
    <s v="Henry"/>
    <n v="673280"/>
    <n v="65328"/>
    <n v="20000"/>
    <n v="587952"/>
  </r>
  <r>
    <x v="5"/>
    <x v="3"/>
    <n v="2"/>
    <s v="Yadeisy"/>
    <n v="670000"/>
    <n v="65000"/>
    <n v="20000"/>
    <n v="585000"/>
  </r>
  <r>
    <x v="5"/>
    <x v="3"/>
    <n v="3"/>
    <s v="Carlos Rios"/>
    <n v="650000"/>
    <n v="63000"/>
    <n v="20000"/>
    <n v="567000"/>
  </r>
  <r>
    <x v="5"/>
    <x v="3"/>
    <n v="4"/>
    <s v="Daniel"/>
    <n v="600000"/>
    <n v="58000"/>
    <n v="20000"/>
    <n v="522000"/>
  </r>
  <r>
    <x v="6"/>
    <x v="0"/>
    <n v="1"/>
    <s v="Ana"/>
    <n v="700000"/>
    <n v="68000"/>
    <n v="20000"/>
    <n v="612000"/>
  </r>
  <r>
    <x v="6"/>
    <x v="0"/>
    <n v="2"/>
    <s v="Luz"/>
    <n v="662700"/>
    <n v="64270"/>
    <n v="20000"/>
    <n v="578430"/>
  </r>
  <r>
    <x v="6"/>
    <x v="0"/>
    <n v="3"/>
    <s v="Gustavo"/>
    <n v="631200"/>
    <n v="63120"/>
    <n v="0"/>
    <n v="568080"/>
  </r>
  <r>
    <x v="6"/>
    <x v="1"/>
    <n v="1"/>
    <m/>
    <n v="0"/>
    <n v="0"/>
    <n v="0"/>
    <n v="0"/>
  </r>
  <r>
    <x v="6"/>
    <x v="1"/>
    <n v="2"/>
    <s v="Victor"/>
    <n v="688000"/>
    <n v="66800"/>
    <n v="20000"/>
    <n v="601200"/>
  </r>
  <r>
    <x v="6"/>
    <x v="1"/>
    <n v="3"/>
    <s v="Melissa"/>
    <n v="632200"/>
    <n v="61220"/>
    <n v="20000"/>
    <n v="550980"/>
  </r>
  <r>
    <x v="6"/>
    <x v="2"/>
    <n v="1"/>
    <s v="Juan Olmos"/>
    <n v="820000"/>
    <n v="80000"/>
    <n v="20000"/>
    <n v="720000"/>
  </r>
  <r>
    <x v="6"/>
    <x v="2"/>
    <n v="2"/>
    <s v="Bleikes"/>
    <n v="764000"/>
    <n v="74400"/>
    <n v="20000"/>
    <n v="669600"/>
  </r>
  <r>
    <x v="6"/>
    <x v="2"/>
    <n v="3"/>
    <s v="Angelica"/>
    <n v="700000"/>
    <n v="68000"/>
    <n v="20000"/>
    <n v="612000"/>
  </r>
  <r>
    <x v="6"/>
    <x v="2"/>
    <n v="4"/>
    <m/>
    <n v="0"/>
    <n v="0"/>
    <n v="0"/>
    <n v="0"/>
  </r>
  <r>
    <x v="6"/>
    <x v="3"/>
    <n v="1"/>
    <s v="Henry"/>
    <n v="673280"/>
    <n v="65328"/>
    <n v="20000"/>
    <n v="587952"/>
  </r>
  <r>
    <x v="6"/>
    <x v="3"/>
    <n v="2"/>
    <s v="Yadeisy"/>
    <n v="670000"/>
    <n v="65000"/>
    <n v="20000"/>
    <n v="585000"/>
  </r>
  <r>
    <x v="6"/>
    <x v="3"/>
    <n v="3"/>
    <s v="Carlos Rios"/>
    <n v="650000"/>
    <n v="63000"/>
    <n v="20000"/>
    <n v="567000"/>
  </r>
  <r>
    <x v="6"/>
    <x v="3"/>
    <n v="4"/>
    <s v="Daniel"/>
    <n v="600000"/>
    <n v="58000"/>
    <n v="20000"/>
    <n v="522000"/>
  </r>
  <r>
    <x v="7"/>
    <x v="0"/>
    <n v="1"/>
    <s v="Ana"/>
    <n v="700000"/>
    <n v="68000"/>
    <n v="20000"/>
    <n v="612000"/>
  </r>
  <r>
    <x v="7"/>
    <x v="0"/>
    <n v="2"/>
    <s v="Luz"/>
    <n v="662700"/>
    <n v="64270"/>
    <n v="20000"/>
    <n v="578430"/>
  </r>
  <r>
    <x v="7"/>
    <x v="0"/>
    <n v="3"/>
    <s v="Gustavo"/>
    <n v="631200"/>
    <n v="63120"/>
    <n v="0"/>
    <n v="568080"/>
  </r>
  <r>
    <x v="7"/>
    <x v="1"/>
    <n v="1"/>
    <s v="Liliana"/>
    <n v="800000"/>
    <n v="78000"/>
    <n v="20000"/>
    <n v="702000"/>
  </r>
  <r>
    <x v="7"/>
    <x v="1"/>
    <n v="2"/>
    <s v="Victor"/>
    <n v="688000"/>
    <n v="66800"/>
    <n v="20000"/>
    <n v="601200"/>
  </r>
  <r>
    <x v="7"/>
    <x v="1"/>
    <n v="3"/>
    <s v="Melissa"/>
    <n v="632200"/>
    <n v="61220"/>
    <n v="20000"/>
    <n v="550980"/>
  </r>
  <r>
    <x v="7"/>
    <x v="2"/>
    <n v="1"/>
    <s v="Juan Olmos"/>
    <n v="820000"/>
    <n v="80000"/>
    <n v="20000"/>
    <n v="720000"/>
  </r>
  <r>
    <x v="7"/>
    <x v="2"/>
    <n v="2"/>
    <s v="Bleikes"/>
    <n v="764000"/>
    <n v="74400"/>
    <n v="20000"/>
    <n v="669600"/>
  </r>
  <r>
    <x v="7"/>
    <x v="2"/>
    <n v="3"/>
    <s v="Angelica"/>
    <n v="700000"/>
    <n v="68000"/>
    <n v="20000"/>
    <n v="612000"/>
  </r>
  <r>
    <x v="7"/>
    <x v="2"/>
    <n v="4"/>
    <m/>
    <n v="0"/>
    <n v="0"/>
    <n v="0"/>
    <n v="0"/>
  </r>
  <r>
    <x v="7"/>
    <x v="3"/>
    <n v="1"/>
    <s v="Henry"/>
    <n v="673280"/>
    <n v="65328"/>
    <n v="20000"/>
    <n v="587952"/>
  </r>
  <r>
    <x v="7"/>
    <x v="3"/>
    <n v="2"/>
    <s v="Yadeisy"/>
    <n v="670000"/>
    <n v="65000"/>
    <n v="20000"/>
    <n v="585000"/>
  </r>
  <r>
    <x v="7"/>
    <x v="3"/>
    <n v="3"/>
    <s v="Carlos Rios"/>
    <n v="650000"/>
    <n v="63000"/>
    <n v="20000"/>
    <n v="567000"/>
  </r>
  <r>
    <x v="7"/>
    <x v="3"/>
    <n v="4"/>
    <s v="Daniel"/>
    <n v="600000"/>
    <n v="58000"/>
    <n v="20000"/>
    <n v="522000"/>
  </r>
  <r>
    <x v="8"/>
    <x v="0"/>
    <n v="1"/>
    <s v="Ana"/>
    <n v="700000"/>
    <n v="68000"/>
    <n v="20000"/>
    <n v="612000"/>
  </r>
  <r>
    <x v="8"/>
    <x v="0"/>
    <n v="2"/>
    <s v="Luz"/>
    <n v="662700"/>
    <n v="64270"/>
    <n v="20000"/>
    <n v="578430"/>
  </r>
  <r>
    <x v="8"/>
    <x v="0"/>
    <n v="3"/>
    <s v="Gustavo"/>
    <n v="631200"/>
    <n v="63120"/>
    <n v="0"/>
    <n v="568080"/>
  </r>
  <r>
    <x v="8"/>
    <x v="1"/>
    <n v="1"/>
    <s v="Liliana"/>
    <n v="800000"/>
    <n v="78000"/>
    <n v="20000"/>
    <n v="702000"/>
  </r>
  <r>
    <x v="8"/>
    <x v="1"/>
    <n v="2"/>
    <s v="Victor"/>
    <n v="688000"/>
    <n v="66800"/>
    <n v="20000"/>
    <n v="601200"/>
  </r>
  <r>
    <x v="8"/>
    <x v="1"/>
    <n v="3"/>
    <s v="Melissa"/>
    <n v="632200"/>
    <n v="61220"/>
    <n v="20000"/>
    <n v="550980"/>
  </r>
  <r>
    <x v="8"/>
    <x v="2"/>
    <n v="1"/>
    <s v="Yelisa"/>
    <n v="850000"/>
    <n v="83000"/>
    <n v="20000"/>
    <n v="747000"/>
  </r>
  <r>
    <x v="8"/>
    <x v="2"/>
    <n v="2"/>
    <s v="Bleikes"/>
    <n v="764000"/>
    <n v="74400"/>
    <n v="20000"/>
    <n v="669600"/>
  </r>
  <r>
    <x v="8"/>
    <x v="2"/>
    <n v="3"/>
    <s v="Angelica"/>
    <n v="700000"/>
    <n v="68000"/>
    <n v="20000"/>
    <n v="612000"/>
  </r>
  <r>
    <x v="8"/>
    <x v="2"/>
    <n v="4"/>
    <s v="Jaiver"/>
    <n v="650000"/>
    <n v="63000"/>
    <n v="20000"/>
    <n v="567000"/>
  </r>
  <r>
    <x v="8"/>
    <x v="3"/>
    <n v="1"/>
    <s v="Henry"/>
    <n v="673280"/>
    <n v="65328"/>
    <n v="20000"/>
    <n v="587952"/>
  </r>
  <r>
    <x v="8"/>
    <x v="3"/>
    <n v="2"/>
    <s v="Yadeisy"/>
    <n v="670000"/>
    <n v="65000"/>
    <n v="20000"/>
    <n v="585000"/>
  </r>
  <r>
    <x v="8"/>
    <x v="3"/>
    <n v="3"/>
    <m/>
    <n v="0"/>
    <n v="0"/>
    <n v="0"/>
    <n v="0"/>
  </r>
  <r>
    <x v="8"/>
    <x v="3"/>
    <n v="4"/>
    <s v="Daniel"/>
    <n v="600000"/>
    <n v="63000"/>
    <n v="20000"/>
    <n v="517000"/>
  </r>
  <r>
    <x v="9"/>
    <x v="0"/>
    <n v="1"/>
    <s v="Ana"/>
    <n v="736400"/>
    <n v="74640"/>
    <n v="20000"/>
    <n v="641760"/>
  </r>
  <r>
    <x v="9"/>
    <x v="0"/>
    <n v="2"/>
    <s v="Luz"/>
    <n v="662700"/>
    <n v="64270"/>
    <n v="20000"/>
    <n v="578430"/>
  </r>
  <r>
    <x v="9"/>
    <x v="0"/>
    <n v="3"/>
    <s v="Gustavo"/>
    <n v="631200"/>
    <n v="63120"/>
    <n v="0"/>
    <n v="568080"/>
  </r>
  <r>
    <x v="9"/>
    <x v="1"/>
    <n v="1"/>
    <s v="Liliana"/>
    <n v="800000"/>
    <n v="78000"/>
    <n v="20000"/>
    <n v="702000"/>
  </r>
  <r>
    <x v="9"/>
    <x v="1"/>
    <n v="2"/>
    <s v="Victor"/>
    <n v="688000"/>
    <n v="66800"/>
    <n v="20000"/>
    <n v="601200"/>
  </r>
  <r>
    <x v="9"/>
    <x v="1"/>
    <n v="3"/>
    <s v="Melissa"/>
    <n v="632200"/>
    <n v="61220"/>
    <n v="20000"/>
    <n v="550980"/>
  </r>
  <r>
    <x v="9"/>
    <x v="2"/>
    <n v="1"/>
    <s v="Yelisa"/>
    <n v="850000"/>
    <n v="83000"/>
    <n v="20000"/>
    <n v="747000"/>
  </r>
  <r>
    <x v="9"/>
    <x v="2"/>
    <n v="2"/>
    <s v="Bleikes"/>
    <n v="803700"/>
    <n v="78370"/>
    <n v="20000"/>
    <n v="705330"/>
  </r>
  <r>
    <x v="9"/>
    <x v="2"/>
    <n v="3"/>
    <s v="Angelica"/>
    <n v="700000"/>
    <n v="68000"/>
    <n v="20000"/>
    <n v="612000"/>
  </r>
  <r>
    <x v="9"/>
    <x v="2"/>
    <n v="4"/>
    <s v="Jaiver"/>
    <n v="650000"/>
    <n v="63000"/>
    <n v="20000"/>
    <n v="567000"/>
  </r>
  <r>
    <x v="9"/>
    <x v="3"/>
    <n v="1"/>
    <s v="Henry"/>
    <n v="673280"/>
    <n v="65328"/>
    <n v="20000"/>
    <n v="587952"/>
  </r>
  <r>
    <x v="9"/>
    <x v="3"/>
    <n v="2"/>
    <s v="Yadeisy"/>
    <n v="704800"/>
    <n v="68480"/>
    <n v="20000"/>
    <n v="616320"/>
  </r>
  <r>
    <x v="9"/>
    <x v="3"/>
    <n v="3"/>
    <s v="Evelyn"/>
    <n v="680000"/>
    <n v="66000"/>
    <n v="0"/>
    <n v="614000"/>
  </r>
  <r>
    <x v="9"/>
    <x v="3"/>
    <n v="3"/>
    <s v="Evelyn"/>
    <n v="113333"/>
    <n v="0"/>
    <n v="0"/>
    <n v="113333"/>
  </r>
  <r>
    <x v="9"/>
    <x v="3"/>
    <n v="4"/>
    <s v="Daniel"/>
    <n v="631200"/>
    <n v="61120"/>
    <n v="20000"/>
    <n v="550080"/>
  </r>
  <r>
    <x v="10"/>
    <x v="0"/>
    <n v="1"/>
    <s v="Ana"/>
    <n v="736400"/>
    <n v="74640"/>
    <n v="20000"/>
    <n v="641760"/>
  </r>
  <r>
    <x v="10"/>
    <x v="0"/>
    <n v="2"/>
    <s v="Luz"/>
    <n v="662700"/>
    <n v="64270"/>
    <n v="20000"/>
    <n v="578430"/>
  </r>
  <r>
    <x v="10"/>
    <x v="0"/>
    <n v="3"/>
    <s v="Gustavo"/>
    <n v="631200"/>
    <n v="63120"/>
    <n v="0"/>
    <n v="568080"/>
  </r>
  <r>
    <x v="10"/>
    <x v="1"/>
    <n v="1"/>
    <s v="Liliana"/>
    <n v="800000"/>
    <n v="78000"/>
    <n v="20000"/>
    <n v="702000"/>
  </r>
  <r>
    <x v="10"/>
    <x v="1"/>
    <n v="2"/>
    <s v="Victor"/>
    <n v="688000"/>
    <n v="66800"/>
    <n v="20000"/>
    <n v="601200"/>
  </r>
  <r>
    <x v="10"/>
    <x v="1"/>
    <n v="3"/>
    <s v="Melissa"/>
    <n v="632200"/>
    <n v="61220"/>
    <n v="20000"/>
    <n v="550980"/>
  </r>
  <r>
    <x v="10"/>
    <x v="2"/>
    <n v="1"/>
    <s v="Yelisa"/>
    <n v="850000"/>
    <n v="83000"/>
    <n v="20000"/>
    <n v="747000"/>
  </r>
  <r>
    <x v="10"/>
    <x v="2"/>
    <n v="2"/>
    <s v="Bleikes"/>
    <n v="803700"/>
    <n v="78370"/>
    <n v="20000"/>
    <n v="705330"/>
  </r>
  <r>
    <x v="10"/>
    <x v="2"/>
    <n v="3"/>
    <s v="Angelica"/>
    <n v="700000"/>
    <n v="68000"/>
    <n v="20000"/>
    <n v="612000"/>
  </r>
  <r>
    <x v="10"/>
    <x v="2"/>
    <n v="4"/>
    <s v="Jaiver"/>
    <n v="650000"/>
    <n v="63000"/>
    <n v="20000"/>
    <n v="567000"/>
  </r>
  <r>
    <x v="10"/>
    <x v="3"/>
    <n v="1"/>
    <s v="Henry"/>
    <n v="673280"/>
    <n v="65328"/>
    <n v="20000"/>
    <n v="587952"/>
  </r>
  <r>
    <x v="10"/>
    <x v="3"/>
    <n v="2"/>
    <s v="Yadeisy"/>
    <n v="704800"/>
    <n v="68480"/>
    <n v="20000"/>
    <n v="616320"/>
  </r>
  <r>
    <x v="10"/>
    <x v="3"/>
    <n v="3"/>
    <s v="Evelyn"/>
    <n v="680000"/>
    <n v="66000"/>
    <n v="0"/>
    <n v="614000"/>
  </r>
  <r>
    <x v="10"/>
    <x v="3"/>
    <n v="4"/>
    <s v="Daniel"/>
    <n v="631200"/>
    <n v="61120"/>
    <n v="20000"/>
    <n v="550080"/>
  </r>
  <r>
    <x v="11"/>
    <x v="0"/>
    <n v="1"/>
    <s v="Ana"/>
    <n v="736400"/>
    <n v="71640"/>
    <n v="20000"/>
    <n v="644760"/>
  </r>
  <r>
    <x v="11"/>
    <x v="0"/>
    <n v="2"/>
    <s v="Luz"/>
    <n v="662700"/>
    <n v="64270"/>
    <n v="20000"/>
    <n v="578430"/>
  </r>
  <r>
    <x v="11"/>
    <x v="0"/>
    <n v="3"/>
    <s v="Gustavo"/>
    <n v="631200"/>
    <n v="63120"/>
    <n v="0"/>
    <n v="568080"/>
  </r>
  <r>
    <x v="11"/>
    <x v="1"/>
    <n v="1"/>
    <s v="Liliana"/>
    <n v="800000"/>
    <n v="78000"/>
    <n v="20000"/>
    <n v="702000"/>
  </r>
  <r>
    <x v="11"/>
    <x v="1"/>
    <n v="2"/>
    <m/>
    <n v="0"/>
    <n v="0"/>
    <n v="0"/>
    <n v="0"/>
  </r>
  <r>
    <x v="11"/>
    <x v="1"/>
    <n v="3"/>
    <s v="Melissa"/>
    <n v="632200"/>
    <n v="61220"/>
    <n v="20000"/>
    <n v="550980"/>
  </r>
  <r>
    <x v="11"/>
    <x v="2"/>
    <n v="1"/>
    <s v="Yelisa"/>
    <n v="850000"/>
    <n v="83000"/>
    <n v="20000"/>
    <n v="747000"/>
  </r>
  <r>
    <x v="11"/>
    <x v="2"/>
    <n v="2"/>
    <s v="Bleikes"/>
    <n v="803700"/>
    <n v="78370"/>
    <n v="20000"/>
    <n v="705330"/>
  </r>
  <r>
    <x v="11"/>
    <x v="2"/>
    <n v="3"/>
    <s v="Orlenys"/>
    <n v="750000"/>
    <n v="73000"/>
    <n v="20000"/>
    <n v="657000"/>
  </r>
  <r>
    <x v="11"/>
    <x v="2"/>
    <n v="4"/>
    <s v="Jaiver"/>
    <n v="650000"/>
    <n v="63000"/>
    <n v="20000"/>
    <n v="567000"/>
  </r>
  <r>
    <x v="11"/>
    <x v="3"/>
    <n v="1"/>
    <s v="Henry"/>
    <n v="673280"/>
    <n v="65328"/>
    <n v="20000"/>
    <n v="587952"/>
  </r>
  <r>
    <x v="11"/>
    <x v="3"/>
    <n v="2"/>
    <s v="Yadeisy"/>
    <n v="704800"/>
    <n v="68480"/>
    <n v="20000"/>
    <n v="616320"/>
  </r>
  <r>
    <x v="11"/>
    <x v="3"/>
    <n v="3"/>
    <s v="Evelyn"/>
    <n v="680000"/>
    <n v="66000"/>
    <n v="20000"/>
    <n v="594000"/>
  </r>
  <r>
    <x v="11"/>
    <x v="3"/>
    <n v="4"/>
    <s v="Daniel"/>
    <n v="631200"/>
    <n v="61120"/>
    <n v="20000"/>
    <n v="550080"/>
  </r>
  <r>
    <x v="12"/>
    <x v="0"/>
    <n v="1"/>
    <s v="Ana"/>
    <n v="736400"/>
    <n v="71640"/>
    <n v="20000"/>
    <n v="644760"/>
  </r>
  <r>
    <x v="12"/>
    <x v="0"/>
    <n v="2"/>
    <s v="Luz"/>
    <n v="662700"/>
    <n v="64270"/>
    <n v="20000"/>
    <n v="578430"/>
  </r>
  <r>
    <x v="12"/>
    <x v="0"/>
    <n v="3"/>
    <s v="Gustavo"/>
    <n v="631200"/>
    <n v="63120"/>
    <n v="0"/>
    <n v="568080"/>
  </r>
  <r>
    <x v="12"/>
    <x v="1"/>
    <n v="1"/>
    <s v="Liliana"/>
    <n v="800000"/>
    <n v="78000"/>
    <n v="20000"/>
    <n v="702000"/>
  </r>
  <r>
    <x v="12"/>
    <x v="1"/>
    <n v="2"/>
    <s v="Daniela"/>
    <n v="720000"/>
    <n v="70000"/>
    <n v="20000"/>
    <n v="630000"/>
  </r>
  <r>
    <x v="12"/>
    <x v="1"/>
    <n v="3"/>
    <s v="Melissa"/>
    <n v="632200"/>
    <n v="61220"/>
    <n v="20000"/>
    <n v="550980"/>
  </r>
  <r>
    <x v="12"/>
    <x v="2"/>
    <n v="1"/>
    <s v="Yelisa"/>
    <n v="850000"/>
    <n v="83000"/>
    <n v="20000"/>
    <n v="747000"/>
  </r>
  <r>
    <x v="12"/>
    <x v="2"/>
    <n v="2"/>
    <s v="Bleikes"/>
    <n v="803700"/>
    <n v="78370"/>
    <n v="20000"/>
    <n v="705330"/>
  </r>
  <r>
    <x v="12"/>
    <x v="2"/>
    <n v="3"/>
    <s v="Orlenys"/>
    <n v="750000"/>
    <n v="73000"/>
    <n v="20000"/>
    <n v="657000"/>
  </r>
  <r>
    <x v="12"/>
    <x v="2"/>
    <n v="4"/>
    <s v="Jaiver"/>
    <n v="650000"/>
    <n v="63000"/>
    <n v="20000"/>
    <n v="567000"/>
  </r>
  <r>
    <x v="12"/>
    <x v="3"/>
    <n v="1"/>
    <s v="Henry"/>
    <n v="694320"/>
    <n v="67432"/>
    <n v="20000"/>
    <n v="606888"/>
  </r>
  <r>
    <x v="12"/>
    <x v="3"/>
    <n v="2"/>
    <s v="Yadeisy"/>
    <n v="704800"/>
    <n v="68480"/>
    <n v="20000"/>
    <n v="616320"/>
  </r>
  <r>
    <x v="12"/>
    <x v="3"/>
    <n v="3"/>
    <s v="Evelyn"/>
    <n v="680000"/>
    <n v="66000"/>
    <n v="20000"/>
    <n v="594000"/>
  </r>
  <r>
    <x v="12"/>
    <x v="3"/>
    <n v="4"/>
    <s v="Daniel"/>
    <n v="631200"/>
    <n v="61120"/>
    <n v="20000"/>
    <n v="55008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">
  <r>
    <x v="0"/>
    <x v="0"/>
    <s v="Edificio 2 gaitán"/>
    <n v="1"/>
    <x v="0"/>
    <x v="0"/>
    <b v="1"/>
  </r>
  <r>
    <x v="1"/>
    <x v="1"/>
    <s v="Edificio 2 gaitán"/>
    <n v="2"/>
    <x v="1"/>
    <x v="1"/>
    <b v="1"/>
  </r>
  <r>
    <x v="2"/>
    <x v="2"/>
    <s v="Edificio 3 gaitán"/>
    <n v="3"/>
    <x v="2"/>
    <x v="2"/>
    <b v="1"/>
  </r>
  <r>
    <x v="3"/>
    <x v="3"/>
    <s v="Edificio 1 gaitán"/>
    <n v="3"/>
    <x v="3"/>
    <x v="3"/>
    <b v="1"/>
  </r>
  <r>
    <x v="4"/>
    <x v="4"/>
    <s v="Edificio manantial"/>
    <n v="1"/>
    <x v="4"/>
    <x v="4"/>
    <b v="1"/>
  </r>
  <r>
    <x v="5"/>
    <x v="5"/>
    <s v="Edificio 1 gaitán"/>
    <n v="2"/>
    <x v="5"/>
    <x v="5"/>
    <b v="1"/>
  </r>
  <r>
    <x v="6"/>
    <x v="6"/>
    <s v="Edificio manantial"/>
    <n v="3"/>
    <x v="6"/>
    <x v="6"/>
    <b v="1"/>
  </r>
  <r>
    <x v="7"/>
    <x v="7"/>
    <s v="Edificio 2 gaitán"/>
    <n v="3"/>
    <x v="7"/>
    <x v="7"/>
    <b v="1"/>
  </r>
  <r>
    <x v="8"/>
    <x v="8"/>
    <s v="Edificio 1 gaitán"/>
    <n v="1"/>
    <x v="8"/>
    <x v="8"/>
    <b v="1"/>
  </r>
  <r>
    <x v="9"/>
    <x v="9"/>
    <s v="Edificio manantial"/>
    <n v="4"/>
    <x v="9"/>
    <x v="9"/>
    <b v="1"/>
  </r>
  <r>
    <x v="10"/>
    <x v="10"/>
    <s v="Edificio 3 gaitán"/>
    <n v="4"/>
    <x v="10"/>
    <x v="10"/>
    <b v="1"/>
  </r>
  <r>
    <x v="11"/>
    <x v="11"/>
    <s v="Edificio 3 gaitán"/>
    <n v="1"/>
    <x v="11"/>
    <x v="11"/>
    <b v="1"/>
  </r>
  <r>
    <x v="12"/>
    <x v="12"/>
    <s v="Edificio 3 gaitán"/>
    <n v="2"/>
    <x v="12"/>
    <x v="12"/>
    <b v="1"/>
  </r>
  <r>
    <x v="13"/>
    <x v="13"/>
    <s v="Edificio manantial"/>
    <n v="2"/>
    <x v="12"/>
    <x v="12"/>
    <b v="1"/>
  </r>
  <r>
    <x v="14"/>
    <x v="0"/>
    <s v="Edificio 2 gaitán"/>
    <n v="1"/>
    <x v="13"/>
    <x v="13"/>
    <b v="0"/>
  </r>
  <r>
    <x v="15"/>
    <x v="3"/>
    <s v="Edificio 1 gaitán"/>
    <n v="3"/>
    <x v="14"/>
    <x v="14"/>
    <b v="0"/>
  </r>
  <r>
    <x v="16"/>
    <x v="4"/>
    <s v="Edificio manantial"/>
    <n v="1"/>
    <x v="15"/>
    <x v="15"/>
    <b v="0"/>
  </r>
  <r>
    <x v="17"/>
    <x v="5"/>
    <s v="Edificio 1 gaitán"/>
    <n v="2"/>
    <x v="16"/>
    <x v="16"/>
    <b v="0"/>
  </r>
  <r>
    <x v="18"/>
    <x v="7"/>
    <s v="Edificio 2 gaitán"/>
    <n v="3"/>
    <x v="17"/>
    <x v="17"/>
    <b v="0"/>
  </r>
  <r>
    <x v="19"/>
    <x v="8"/>
    <s v="Edificio 1 gaitán"/>
    <n v="1"/>
    <x v="18"/>
    <x v="18"/>
    <b v="0"/>
  </r>
  <r>
    <x v="20"/>
    <x v="9"/>
    <s v="Edificio manantial"/>
    <n v="4"/>
    <x v="19"/>
    <x v="19"/>
    <b v="0"/>
  </r>
  <r>
    <x v="21"/>
    <x v="12"/>
    <s v="Edificio 3 gaitán"/>
    <n v="2"/>
    <x v="20"/>
    <x v="20"/>
    <b v="0"/>
  </r>
  <r>
    <x v="22"/>
    <x v="13"/>
    <s v="Edificio manantial"/>
    <n v="2"/>
    <x v="20"/>
    <x v="20"/>
    <b v="0"/>
  </r>
  <r>
    <x v="23"/>
    <x v="3"/>
    <s v="Edificio 1 gaitán"/>
    <n v="3"/>
    <x v="21"/>
    <x v="21"/>
    <b v="0"/>
  </r>
  <r>
    <x v="24"/>
    <x v="14"/>
    <s v="Edificio 3 gaitán"/>
    <n v="3"/>
    <x v="22"/>
    <x v="22"/>
    <b v="0"/>
  </r>
  <r>
    <x v="25"/>
    <x v="4"/>
    <s v="Edificio manantial"/>
    <n v="1"/>
    <x v="23"/>
    <x v="23"/>
    <b v="0"/>
  </r>
  <r>
    <x v="26"/>
    <x v="5"/>
    <s v="Edificio 1 gaitán"/>
    <n v="2"/>
    <x v="24"/>
    <x v="24"/>
    <b v="0"/>
  </r>
  <r>
    <x v="27"/>
    <x v="7"/>
    <s v="Edificio 2 gaitán"/>
    <n v="3"/>
    <x v="25"/>
    <x v="25"/>
    <b v="0"/>
  </r>
  <r>
    <x v="28"/>
    <x v="8"/>
    <s v="Edificio 1 gaitán"/>
    <n v="1"/>
    <x v="26"/>
    <x v="26"/>
    <b v="0"/>
  </r>
  <r>
    <x v="29"/>
    <x v="9"/>
    <s v="Edificio manantial"/>
    <n v="4"/>
    <x v="27"/>
    <x v="27"/>
    <b v="0"/>
  </r>
  <r>
    <x v="30"/>
    <x v="15"/>
    <s v="Edificio manantial"/>
    <n v="3"/>
    <x v="28"/>
    <x v="28"/>
    <b v="0"/>
  </r>
  <r>
    <x v="31"/>
    <x v="12"/>
    <s v="Edificio 3 gaitán"/>
    <n v="2"/>
    <x v="29"/>
    <x v="29"/>
    <b v="0"/>
  </r>
  <r>
    <x v="32"/>
    <x v="13"/>
    <s v="Edificio manantial"/>
    <n v="2"/>
    <x v="29"/>
    <x v="29"/>
    <b v="0"/>
  </r>
  <r>
    <x v="33"/>
    <x v="16"/>
    <s v="Edificio 3 gaitán"/>
    <n v="4"/>
    <x v="30"/>
    <x v="30"/>
    <b v="0"/>
  </r>
  <r>
    <x v="34"/>
    <x v="3"/>
    <s v="Edificio 1 gaitán"/>
    <n v="3"/>
    <x v="31"/>
    <x v="31"/>
    <b v="0"/>
  </r>
  <r>
    <x v="35"/>
    <x v="4"/>
    <s v="Edificio manantial"/>
    <n v="1"/>
    <x v="32"/>
    <x v="32"/>
    <b v="0"/>
  </r>
  <r>
    <x v="36"/>
    <x v="5"/>
    <s v="Edificio 1 gaitán"/>
    <n v="2"/>
    <x v="33"/>
    <x v="33"/>
    <b v="0"/>
  </r>
  <r>
    <x v="37"/>
    <x v="7"/>
    <s v="Edificio 2 gaitán"/>
    <n v="3"/>
    <x v="34"/>
    <x v="34"/>
    <b v="0"/>
  </r>
  <r>
    <x v="38"/>
    <x v="17"/>
    <s v="Edificio 3 gaitán"/>
    <n v="1"/>
    <x v="35"/>
    <x v="35"/>
    <b v="0"/>
  </r>
  <r>
    <x v="39"/>
    <x v="12"/>
    <s v="Edificio 3 gaitán"/>
    <n v="2"/>
    <x v="36"/>
    <x v="36"/>
    <b v="0"/>
  </r>
  <r>
    <x v="40"/>
    <x v="18"/>
    <s v="Edificio 2 gaitán"/>
    <n v="2"/>
    <x v="37"/>
    <x v="37"/>
    <b v="0"/>
  </r>
  <r>
    <x v="41"/>
    <x v="3"/>
    <s v="Edificio 1 gaitán"/>
    <n v="3"/>
    <x v="38"/>
    <x v="38"/>
    <b v="0"/>
  </r>
  <r>
    <x v="42"/>
    <x v="7"/>
    <s v="Edificio 2 gaitán"/>
    <n v="3"/>
    <x v="39"/>
    <x v="39"/>
    <b v="0"/>
  </r>
  <r>
    <x v="43"/>
    <x v="12"/>
    <s v="Edificio 3 gaitán"/>
    <n v="2"/>
    <x v="40"/>
    <x v="40"/>
    <b v="0"/>
  </r>
  <r>
    <x v="44"/>
    <x v="3"/>
    <s v="Edificio 1 gaitán"/>
    <n v="3"/>
    <x v="41"/>
    <x v="41"/>
    <b v="0"/>
  </r>
  <r>
    <x v="45"/>
    <x v="7"/>
    <s v="Edificio 2 gaitán"/>
    <n v="3"/>
    <x v="42"/>
    <x v="42"/>
    <b v="0"/>
  </r>
  <r>
    <x v="46"/>
    <x v="19"/>
    <s v="Edificio 2 gaitán"/>
    <n v="1"/>
    <x v="43"/>
    <x v="43"/>
    <b v="0"/>
  </r>
  <r>
    <x v="47"/>
    <x v="3"/>
    <s v="Edificio 1 gaitán"/>
    <n v="3"/>
    <x v="44"/>
    <x v="44"/>
    <b v="0"/>
  </r>
  <r>
    <x v="48"/>
    <x v="3"/>
    <s v="Edificio 1 gaitán"/>
    <n v="3"/>
    <x v="45"/>
    <x v="45"/>
    <b v="0"/>
  </r>
  <r>
    <x v="49"/>
    <x v="3"/>
    <s v="Edificio 1 gaitán"/>
    <n v="3"/>
    <x v="46"/>
    <x v="46"/>
    <b v="0"/>
  </r>
  <r>
    <x v="50"/>
    <x v="3"/>
    <s v="Edificio 1 gaitán"/>
    <n v="3"/>
    <x v="47"/>
    <x v="47"/>
    <b v="0"/>
  </r>
  <r>
    <x v="51"/>
    <x v="3"/>
    <s v="Edificio 1 gaitán"/>
    <n v="3"/>
    <x v="48"/>
    <x v="48"/>
    <b v="0"/>
  </r>
  <r>
    <x v="52"/>
    <x v="3"/>
    <s v="Edificio 1 gaitán"/>
    <n v="3"/>
    <x v="49"/>
    <x v="49"/>
    <b v="0"/>
  </r>
  <r>
    <x v="53"/>
    <x v="3"/>
    <s v="Edificio 1 gaitán"/>
    <n v="3"/>
    <x v="50"/>
    <x v="50"/>
    <b v="0"/>
  </r>
  <r>
    <x v="54"/>
    <x v="3"/>
    <s v="Edificio 1 gaitán"/>
    <n v="3"/>
    <x v="51"/>
    <x v="51"/>
    <b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667720-8774-49DE-A894-54F7C5C000C3}" name="TablaDinámica7" cacheId="17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14:D23" firstHeaderRow="1" firstDataRow="1" firstDataCol="1" rowPageCount="1" colPageCount="1"/>
  <pivotFields count="13">
    <pivotField showAll="0">
      <items count="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axis="axisPage" showAll="0">
      <items count="21">
        <item x="8"/>
        <item x="14"/>
        <item x="12"/>
        <item x="15"/>
        <item x="9"/>
        <item x="1"/>
        <item x="6"/>
        <item x="3"/>
        <item x="4"/>
        <item x="10"/>
        <item x="19"/>
        <item x="17"/>
        <item x="0"/>
        <item x="5"/>
        <item x="7"/>
        <item x="2"/>
        <item x="18"/>
        <item x="13"/>
        <item x="11"/>
        <item x="16"/>
        <item t="default"/>
      </items>
    </pivotField>
    <pivotField showAll="0"/>
    <pivotField showAll="0"/>
    <pivotField axis="axisRow" numFmtId="14" showAll="0">
      <items count="53"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numFmtId="14" showAll="0">
      <items count="53"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axis="axisRow" showAll="0">
      <items count="15">
        <item sd="0" x="0"/>
        <item sd="0" x="1"/>
        <item sd="0" x="2"/>
        <item x="3"/>
        <item sd="0" x="4"/>
        <item sd="0" x="5"/>
        <item sd="0" x="6"/>
        <item sd="0" x="7"/>
        <item sd="0" x="8"/>
        <item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x="3"/>
        <item sd="0" x="4"/>
        <item sd="0" x="5"/>
        <item t="default"/>
      </items>
    </pivotField>
    <pivotField axis="axisRow" showAll="0">
      <items count="11">
        <item sd="0" x="0"/>
        <item sd="0" x="1"/>
        <item sd="0" x="2"/>
        <item sd="0" x="3"/>
        <item sd="0" x="4"/>
        <item sd="0" x="5"/>
        <item x="6"/>
        <item x="7"/>
        <item sd="0" x="8"/>
        <item sd="0" x="9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11">
        <item sd="0" x="0"/>
        <item sd="0" x="1"/>
        <item sd="0" x="2"/>
        <item sd="0" x="3"/>
        <item sd="0" x="4"/>
        <item sd="0" x="5"/>
        <item sd="0" x="6"/>
        <item x="7"/>
        <item sd="0" x="8"/>
        <item sd="0" x="9"/>
        <item t="default"/>
      </items>
    </pivotField>
  </pivotFields>
  <rowFields count="3">
    <field x="9"/>
    <field x="7"/>
    <field x="4"/>
  </rowFields>
  <rowItems count="9">
    <i>
      <x v="6"/>
    </i>
    <i r="1">
      <x v="9"/>
    </i>
    <i r="2">
      <x v="25"/>
    </i>
    <i>
      <x v="7"/>
    </i>
    <i r="1">
      <x v="3"/>
    </i>
    <i r="2">
      <x v="33"/>
    </i>
    <i r="1">
      <x v="9"/>
    </i>
    <i r="2">
      <x v="43"/>
    </i>
    <i t="grand">
      <x/>
    </i>
  </rowItems>
  <colItems count="1">
    <i/>
  </colItems>
  <pageFields count="1">
    <pageField fld="1" item="0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E51ECB-8434-4FD9-80AC-EB5BC381E6CA}" name="TablaDinámica2" cacheId="16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1:G6" firstHeaderRow="0" firstDataRow="1" firstDataCol="1"/>
  <pivotFields count="8">
    <pivotField numFmtId="14"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numFmtId="166" showAll="0"/>
    <pivotField dataField="1" numFmtId="166" showAll="0"/>
    <pivotField dataField="1" numFmtId="166" showAll="0"/>
    <pivotField dataField="1" numFmtId="166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CUOTA ADMINISTRACION" fld="5" baseField="0" baseItem="0" numFmtId="166"/>
    <dataField name="Suma de FONDO INMUEBLE" fld="6" baseField="0" baseItem="0" numFmtId="166"/>
    <dataField name="Suma de TOTAL" fld="7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C46265-C576-445B-B636-538C3D6E1BCD}" name="TablaDinámica1" cacheId="16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B15" firstHeaderRow="1" firstDataRow="1" firstDataCol="1"/>
  <pivotFields count="8">
    <pivotField axis="axisRow" numFmtId="14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numFmtId="166" showAll="0"/>
    <pivotField numFmtId="166" showAll="0"/>
    <pivotField numFmtId="166" showAll="0"/>
    <pivotField dataField="1" numFmtId="166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a de TOTAL" fld="7" baseField="0" baseItem="0" numFmtId="166"/>
  </dataFields>
  <formats count="1">
    <format dxfId="4">
      <pivotArea dataOnly="0" labelOnly="1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6B0517-BAE9-4FD0-BC92-EB6535A8C0A1}" name="Tabla2" displayName="Tabla2" ref="A1:K185" totalsRowShown="0">
  <autoFilter ref="A1:K185" xr:uid="{3C6B0517-BAE9-4FD0-BC92-EB6535A8C0A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9" xr3:uid="{F43B528C-F746-4797-A99A-C5CF142DD75C}" name="ID CONTRATO" dataDxfId="0" dataCellStyle="Moneda">
      <calculatedColumnFormula array="1">_xlfn.XLOOKUP(1,(Contratos!$B$2:$B$2000=G2)*(D2&gt;=Contratos!$E$2:$E$2000)*(D2&lt;=Contratos!$F$2:$F$2000),Contratos!$A$2:$A$2000,"")</calculatedColumnFormula>
    </tableColumn>
    <tableColumn id="10" xr3:uid="{8ADB429B-987D-40A8-BC40-CA2B6B249546}" name="MES" dataDxfId="3" dataCellStyle="Moneda"/>
    <tableColumn id="11" xr3:uid="{B580620A-F0EE-4BBB-9307-23E7C9959752}" name="ANIO" dataDxfId="1" dataCellStyle="Moneda"/>
    <tableColumn id="1" xr3:uid="{E9A6E600-8451-4CD7-9D2F-20F6EE24F9E1}" name="FECHA" dataDxfId="2"/>
    <tableColumn id="2" xr3:uid="{4640DB88-1C85-480E-B479-D49720A50211}" name="EDIFICIO"/>
    <tableColumn id="3" xr3:uid="{CBA44883-DED6-4AA3-B725-E7EA2FB864E4}" name="PISO"/>
    <tableColumn id="4" xr3:uid="{0E9B9BFD-342C-42BD-AD06-36D131E7E418}" name="NOMBRE PROPIETARIO"/>
    <tableColumn id="5" xr3:uid="{E8B38F5A-79E9-4B2C-B861-CA871DEA282E}" name="VALOR" dataDxfId="10" dataCellStyle="Moneda"/>
    <tableColumn id="6" xr3:uid="{1B07816B-0328-4CB1-B412-3E09DE639B9D}" name="CUOTA ADMINISTRACION" dataDxfId="9" dataCellStyle="Moneda"/>
    <tableColumn id="7" xr3:uid="{5BA356BA-BC5E-474C-A95C-D7BA0D8935B2}" name="FONDO INMUEBLE" dataDxfId="8" dataCellStyle="Moneda"/>
    <tableColumn id="8" xr3:uid="{041CF6AB-E368-45CB-8DAF-17EEC775B8CE}" name="TOTAL" dataDxfId="7" dataCellStyle="Moneda">
      <calculatedColumnFormula>H2-SUM(I2:J2)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C46791-7A50-4D15-9C65-5DF524EC2A8B}" name="Tabla3" displayName="Tabla3" ref="A1:G56" totalsRowShown="0">
  <autoFilter ref="A1:G56" xr:uid="{8DC46791-7A50-4D15-9C65-5DF524EC2A8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sortState xmlns:xlrd2="http://schemas.microsoft.com/office/spreadsheetml/2017/richdata2" ref="A2:G56">
    <sortCondition ref="B2:B56"/>
    <sortCondition ref="E2:E56"/>
  </sortState>
  <tableColumns count="7">
    <tableColumn id="8" xr3:uid="{A044CB16-EF1E-44E2-A0D5-0C6B4636D1ED}" name="id contrato"/>
    <tableColumn id="1" xr3:uid="{49B63D2B-D77A-41D1-A1A6-9DFBB2F2FD73}" name="Nombre"/>
    <tableColumn id="2" xr3:uid="{45D4B31E-F7AE-4F29-A512-F094D9EC8256}" name="Edificio"/>
    <tableColumn id="3" xr3:uid="{2BC4E8A2-CCFD-446C-95EE-2E708D93C82F}" name="Piso"/>
    <tableColumn id="4" xr3:uid="{3910367C-17DC-4BEC-B1EA-9453E2FC7783}" name="Fecha inicio" dataDxfId="6"/>
    <tableColumn id="5" xr3:uid="{735B4C96-C7F1-4E5E-8243-597EA027BDEB}" name="Fecha fin" dataDxfId="5">
      <calculatedColumnFormula>DATE(YEAR(E2),MONTH(E2)+6,DAY(E2))</calculatedColumnFormula>
    </tableColumn>
    <tableColumn id="6" xr3:uid="{43CBE528-71BC-4EE5-90D4-91B96A898534}" name="Activ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41FC2-F066-4240-A5D3-86173A9FBD6C}">
  <dimension ref="A1:K185"/>
  <sheetViews>
    <sheetView tabSelected="1" zoomScale="85" zoomScaleNormal="85" workbookViewId="0">
      <selection activeCell="F175" sqref="F175"/>
    </sheetView>
  </sheetViews>
  <sheetFormatPr baseColWidth="10" defaultRowHeight="15" x14ac:dyDescent="0.25"/>
  <cols>
    <col min="1" max="1" width="23.28515625" bestFit="1" customWidth="1"/>
    <col min="2" max="2" width="11.42578125" bestFit="1" customWidth="1"/>
    <col min="3" max="3" width="8.42578125" bestFit="1" customWidth="1"/>
    <col min="4" max="4" width="23.140625" bestFit="1" customWidth="1"/>
    <col min="5" max="5" width="17.28515625" bestFit="1" customWidth="1"/>
    <col min="6" max="6" width="5.28515625" bestFit="1" customWidth="1"/>
    <col min="7" max="7" width="14.42578125" bestFit="1" customWidth="1"/>
    <col min="8" max="8" width="13" bestFit="1" customWidth="1"/>
    <col min="9" max="9" width="24.140625" bestFit="1" customWidth="1"/>
    <col min="10" max="10" width="13" bestFit="1" customWidth="1"/>
    <col min="11" max="11" width="13.140625" bestFit="1" customWidth="1"/>
  </cols>
  <sheetData>
    <row r="1" spans="1:11" x14ac:dyDescent="0.25">
      <c r="A1" t="s">
        <v>51</v>
      </c>
      <c r="B1" t="s">
        <v>49</v>
      </c>
      <c r="C1" t="s">
        <v>50</v>
      </c>
      <c r="D1" t="s">
        <v>1</v>
      </c>
      <c r="E1" t="s">
        <v>0</v>
      </c>
      <c r="F1" t="s">
        <v>11</v>
      </c>
      <c r="G1" t="s">
        <v>6</v>
      </c>
      <c r="H1" t="s">
        <v>2</v>
      </c>
      <c r="I1" t="s">
        <v>5</v>
      </c>
      <c r="J1" t="s">
        <v>4</v>
      </c>
      <c r="K1" t="s">
        <v>3</v>
      </c>
    </row>
    <row r="2" spans="1:11" x14ac:dyDescent="0.25">
      <c r="A2" t="str" cm="1">
        <f t="array" ref="A2">_xlfn.XLOOKUP(1,(Contratos!$B$2:$B$2000=G2)*(D2&gt;=Contratos!$E$2:$E$2000)*(D2&lt;=Contratos!$F$2:$F$2000),Contratos!$A$2:$A$2000,"")</f>
        <v>c40dcd0a-2212-45b3-b5d4-2aac8818bdf9</v>
      </c>
      <c r="B2" s="2" t="s">
        <v>52</v>
      </c>
      <c r="C2" s="15">
        <v>2024</v>
      </c>
      <c r="D2" s="12">
        <v>45667</v>
      </c>
      <c r="E2" t="s">
        <v>7</v>
      </c>
      <c r="F2">
        <v>1</v>
      </c>
      <c r="G2" t="s">
        <v>12</v>
      </c>
      <c r="H2" s="2">
        <v>700000</v>
      </c>
      <c r="I2" s="2">
        <v>68000</v>
      </c>
      <c r="J2" s="2">
        <v>20000</v>
      </c>
      <c r="K2" s="2">
        <f>H2-SUM(I2:J2)</f>
        <v>612000</v>
      </c>
    </row>
    <row r="3" spans="1:11" x14ac:dyDescent="0.25">
      <c r="A3" t="str" cm="1">
        <f t="array" ref="A3">_xlfn.XLOOKUP(1,(Contratos!$B$2:$B$2000=G3)*(D3&gt;=Contratos!$E$2:$E$2000)*(D3&lt;=Contratos!$F$2:$F$2000),Contratos!$A$2:$A$2000,"")</f>
        <v>e09f74db-f923-4e51-8bce-340da723f0cc</v>
      </c>
      <c r="B3" s="2" t="s">
        <v>52</v>
      </c>
      <c r="C3" s="15">
        <v>2024</v>
      </c>
      <c r="D3" s="10">
        <v>45667</v>
      </c>
      <c r="E3" t="s">
        <v>7</v>
      </c>
      <c r="F3">
        <v>2</v>
      </c>
      <c r="G3" t="s">
        <v>13</v>
      </c>
      <c r="H3" s="2">
        <v>630000</v>
      </c>
      <c r="I3" s="2">
        <v>61000</v>
      </c>
      <c r="J3" s="2">
        <v>20000</v>
      </c>
      <c r="K3" s="2">
        <f t="shared" ref="K3:K15" si="0">H3-SUM(I3:J3)</f>
        <v>549000</v>
      </c>
    </row>
    <row r="4" spans="1:11" x14ac:dyDescent="0.25">
      <c r="A4" t="str" cm="1">
        <f t="array" ref="A4">_xlfn.XLOOKUP(1,(Contratos!$B$2:$B$2000=G4)*(D4&gt;=Contratos!$E$2:$E$2000)*(D4&lt;=Contratos!$F$2:$F$2000),Contratos!$A$2:$A$2000,"")</f>
        <v>8e4d74fa-ec72-4872-a04b-81c46e2fbd96</v>
      </c>
      <c r="B4" s="2" t="s">
        <v>52</v>
      </c>
      <c r="C4" s="15">
        <v>2024</v>
      </c>
      <c r="D4" s="10">
        <v>45667</v>
      </c>
      <c r="E4" t="s">
        <v>7</v>
      </c>
      <c r="F4">
        <v>3</v>
      </c>
      <c r="G4" t="s">
        <v>14</v>
      </c>
      <c r="H4" s="2">
        <v>600000</v>
      </c>
      <c r="I4" s="2">
        <v>60000</v>
      </c>
      <c r="J4" s="2">
        <v>0</v>
      </c>
      <c r="K4" s="2">
        <f t="shared" si="0"/>
        <v>540000</v>
      </c>
    </row>
    <row r="5" spans="1:11" x14ac:dyDescent="0.25">
      <c r="A5" t="str" cm="1">
        <f t="array" ref="A5">_xlfn.XLOOKUP(1,(Contratos!$B$2:$B$2000=G5)*(D5&gt;=Contratos!$E$2:$E$2000)*(D5&lt;=Contratos!$F$2:$F$2000),Contratos!$A$2:$A$2000,"")</f>
        <v/>
      </c>
      <c r="B5" s="2" t="s">
        <v>52</v>
      </c>
      <c r="C5" s="15">
        <v>2024</v>
      </c>
      <c r="D5" s="10">
        <v>45667</v>
      </c>
      <c r="E5" t="s">
        <v>8</v>
      </c>
      <c r="F5">
        <v>1</v>
      </c>
      <c r="G5" t="s">
        <v>15</v>
      </c>
      <c r="H5" s="2">
        <v>732100</v>
      </c>
      <c r="I5" s="2">
        <v>71210</v>
      </c>
      <c r="J5" s="2">
        <v>20000</v>
      </c>
      <c r="K5" s="2">
        <f t="shared" si="0"/>
        <v>640890</v>
      </c>
    </row>
    <row r="6" spans="1:11" x14ac:dyDescent="0.25">
      <c r="A6" t="str" cm="1">
        <f t="array" ref="A6">_xlfn.XLOOKUP(1,(Contratos!$B$2:$B$2000=G6)*(D6&gt;=Contratos!$E$2:$E$2000)*(D6&lt;=Contratos!$F$2:$F$2000),Contratos!$A$2:$A$2000,"")</f>
        <v/>
      </c>
      <c r="B6" s="2" t="s">
        <v>52</v>
      </c>
      <c r="C6" s="15">
        <v>2024</v>
      </c>
      <c r="D6" s="10">
        <v>45667</v>
      </c>
      <c r="E6" t="s">
        <v>8</v>
      </c>
      <c r="F6">
        <v>2</v>
      </c>
      <c r="G6" t="s">
        <v>16</v>
      </c>
      <c r="H6" s="2">
        <v>688000</v>
      </c>
      <c r="I6" s="2">
        <v>66800</v>
      </c>
      <c r="J6" s="2">
        <v>20000</v>
      </c>
      <c r="K6" s="2">
        <f t="shared" si="0"/>
        <v>601200</v>
      </c>
    </row>
    <row r="7" spans="1:11" x14ac:dyDescent="0.25">
      <c r="A7" t="str" cm="1">
        <f t="array" ref="A7">_xlfn.XLOOKUP(1,(Contratos!$B$2:$B$2000=G7)*(D7&gt;=Contratos!$E$2:$E$2000)*(D7&lt;=Contratos!$F$2:$F$2000),Contratos!$A$2:$A$2000,"")</f>
        <v/>
      </c>
      <c r="B7" s="2" t="s">
        <v>52</v>
      </c>
      <c r="C7" s="15">
        <v>2024</v>
      </c>
      <c r="D7" s="10">
        <v>45667</v>
      </c>
      <c r="E7" t="s">
        <v>8</v>
      </c>
      <c r="F7">
        <v>3</v>
      </c>
      <c r="G7" t="s">
        <v>17</v>
      </c>
      <c r="H7" s="2">
        <v>601000</v>
      </c>
      <c r="I7" s="2">
        <v>58000</v>
      </c>
      <c r="J7" s="2">
        <v>20000</v>
      </c>
      <c r="K7" s="2">
        <f t="shared" si="0"/>
        <v>523000</v>
      </c>
    </row>
    <row r="8" spans="1:11" x14ac:dyDescent="0.25">
      <c r="A8" t="str" cm="1">
        <f t="array" ref="A8">_xlfn.XLOOKUP(1,(Contratos!$B$2:$B$2000=G8)*(D8&gt;=Contratos!$E$2:$E$2000)*(D8&lt;=Contratos!$F$2:$F$2000),Contratos!$A$2:$A$2000,"")</f>
        <v/>
      </c>
      <c r="B8" s="2" t="s">
        <v>52</v>
      </c>
      <c r="C8" s="15">
        <v>2024</v>
      </c>
      <c r="D8" s="10">
        <v>45667</v>
      </c>
      <c r="E8" t="s">
        <v>9</v>
      </c>
      <c r="F8">
        <v>1</v>
      </c>
      <c r="G8" t="s">
        <v>18</v>
      </c>
      <c r="H8" s="2">
        <v>780000</v>
      </c>
      <c r="I8" s="2">
        <v>76000</v>
      </c>
      <c r="J8" s="2">
        <v>20000</v>
      </c>
      <c r="K8" s="2">
        <f t="shared" si="0"/>
        <v>684000</v>
      </c>
    </row>
    <row r="9" spans="1:11" x14ac:dyDescent="0.25">
      <c r="A9" t="str" cm="1">
        <f t="array" ref="A9">_xlfn.XLOOKUP(1,(Contratos!$B$2:$B$2000=G9)*(D9&gt;=Contratos!$E$2:$E$2000)*(D9&lt;=Contratos!$F$2:$F$2000),Contratos!$A$2:$A$2000,"")</f>
        <v>5c552dcf-ebef-4bfe-aee2-c4a6981c0f3a</v>
      </c>
      <c r="B9" s="2" t="s">
        <v>52</v>
      </c>
      <c r="C9" s="15">
        <v>2024</v>
      </c>
      <c r="D9" s="10">
        <v>45667</v>
      </c>
      <c r="E9" t="s">
        <v>9</v>
      </c>
      <c r="F9">
        <v>2</v>
      </c>
      <c r="G9" t="s">
        <v>19</v>
      </c>
      <c r="H9" s="2">
        <v>764000</v>
      </c>
      <c r="I9" s="2">
        <v>74400</v>
      </c>
      <c r="J9" s="2">
        <v>20000</v>
      </c>
      <c r="K9" s="2">
        <f t="shared" si="0"/>
        <v>669600</v>
      </c>
    </row>
    <row r="10" spans="1:11" x14ac:dyDescent="0.25">
      <c r="A10" t="str" cm="1">
        <f t="array" ref="A10">_xlfn.XLOOKUP(1,(Contratos!$B$2:$B$2000=G10)*(D10&gt;=Contratos!$E$2:$E$2000)*(D10&lt;=Contratos!$F$2:$F$2000),Contratos!$A$2:$A$2000,"")</f>
        <v>ec860adc-defd-41d8-a89b-21d87b7ea128</v>
      </c>
      <c r="B10" s="2" t="s">
        <v>52</v>
      </c>
      <c r="C10" s="15">
        <v>2024</v>
      </c>
      <c r="D10" s="10">
        <v>45667</v>
      </c>
      <c r="E10" t="s">
        <v>9</v>
      </c>
      <c r="F10">
        <v>3</v>
      </c>
      <c r="G10" t="s">
        <v>20</v>
      </c>
      <c r="H10" s="2">
        <v>700000</v>
      </c>
      <c r="I10" s="2">
        <v>68000</v>
      </c>
      <c r="J10" s="2">
        <v>20000</v>
      </c>
      <c r="K10" s="2">
        <f t="shared" si="0"/>
        <v>612000</v>
      </c>
    </row>
    <row r="11" spans="1:11" x14ac:dyDescent="0.25">
      <c r="A11" t="str" cm="1">
        <f t="array" ref="A11">_xlfn.XLOOKUP(1,(Contratos!$B$2:$B$2000=G11)*(D11&gt;=Contratos!$E$2:$E$2000)*(D11&lt;=Contratos!$F$2:$F$2000),Contratos!$A$2:$A$2000,"")</f>
        <v/>
      </c>
      <c r="B11" s="2" t="s">
        <v>52</v>
      </c>
      <c r="C11" s="15">
        <v>2024</v>
      </c>
      <c r="D11" s="10">
        <v>45667</v>
      </c>
      <c r="E11" t="s">
        <v>9</v>
      </c>
      <c r="F11">
        <v>4</v>
      </c>
      <c r="G11" t="s">
        <v>21</v>
      </c>
      <c r="H11" s="2">
        <v>620000</v>
      </c>
      <c r="I11" s="2">
        <v>60000</v>
      </c>
      <c r="J11" s="2">
        <v>20000</v>
      </c>
      <c r="K11" s="2">
        <f t="shared" si="0"/>
        <v>540000</v>
      </c>
    </row>
    <row r="12" spans="1:11" x14ac:dyDescent="0.25">
      <c r="A12" t="str" cm="1">
        <f t="array" ref="A12">_xlfn.XLOOKUP(1,(Contratos!$B$2:$B$2000=G12)*(D12&gt;=Contratos!$E$2:$E$2000)*(D12&lt;=Contratos!$F$2:$F$2000),Contratos!$A$2:$A$2000,"")</f>
        <v>16fbb6a2-d237-4dd2-8a6d-7bd76aa8645c</v>
      </c>
      <c r="B12" s="2" t="s">
        <v>52</v>
      </c>
      <c r="C12" s="15">
        <v>2024</v>
      </c>
      <c r="D12" s="10">
        <v>45667</v>
      </c>
      <c r="E12" t="s">
        <v>10</v>
      </c>
      <c r="F12">
        <v>1</v>
      </c>
      <c r="G12" t="s">
        <v>22</v>
      </c>
      <c r="H12" s="2">
        <v>660000</v>
      </c>
      <c r="I12" s="2">
        <v>64000</v>
      </c>
      <c r="J12" s="2">
        <v>20000</v>
      </c>
      <c r="K12" s="2">
        <f t="shared" si="0"/>
        <v>576000</v>
      </c>
    </row>
    <row r="13" spans="1:11" x14ac:dyDescent="0.25">
      <c r="A13" t="str" cm="1">
        <f t="array" ref="A13">_xlfn.XLOOKUP(1,(Contratos!$B$2:$B$2000=G13)*(D13&gt;=Contratos!$E$2:$E$2000)*(D13&lt;=Contratos!$F$2:$F$2000),Contratos!$A$2:$A$2000,"")</f>
        <v>09012b19-863a-4906-b34b-a89dcba8626e</v>
      </c>
      <c r="B13" s="2" t="s">
        <v>52</v>
      </c>
      <c r="C13" s="15">
        <v>2024</v>
      </c>
      <c r="D13" s="10">
        <v>45667</v>
      </c>
      <c r="E13" t="s">
        <v>10</v>
      </c>
      <c r="F13">
        <v>2</v>
      </c>
      <c r="G13" t="s">
        <v>23</v>
      </c>
      <c r="H13" s="2">
        <v>670000</v>
      </c>
      <c r="I13" s="2">
        <v>65000</v>
      </c>
      <c r="J13" s="2">
        <v>20000</v>
      </c>
      <c r="K13" s="2">
        <f t="shared" si="0"/>
        <v>585000</v>
      </c>
    </row>
    <row r="14" spans="1:11" x14ac:dyDescent="0.25">
      <c r="A14" t="str" cm="1">
        <f t="array" ref="A14">_xlfn.XLOOKUP(1,(Contratos!$B$2:$B$2000=G14)*(D14&gt;=Contratos!$E$2:$E$2000)*(D14&lt;=Contratos!$F$2:$F$2000),Contratos!$A$2:$A$2000,"")</f>
        <v>4768bece-ab83-433d-8e6e-3a9988dd03b1</v>
      </c>
      <c r="B14" s="2" t="s">
        <v>52</v>
      </c>
      <c r="C14" s="15">
        <v>2024</v>
      </c>
      <c r="D14" s="10">
        <v>45667</v>
      </c>
      <c r="E14" t="s">
        <v>10</v>
      </c>
      <c r="F14">
        <v>3</v>
      </c>
      <c r="G14" t="s">
        <v>24</v>
      </c>
      <c r="H14" s="2">
        <v>650000</v>
      </c>
      <c r="I14" s="2">
        <v>63000</v>
      </c>
      <c r="J14" s="2">
        <v>20000</v>
      </c>
      <c r="K14" s="2">
        <f t="shared" si="0"/>
        <v>567000</v>
      </c>
    </row>
    <row r="15" spans="1:11" x14ac:dyDescent="0.25">
      <c r="A15" t="str" cm="1">
        <f t="array" ref="A15">_xlfn.XLOOKUP(1,(Contratos!$B$2:$B$2000=G15)*(D15&gt;=Contratos!$E$2:$E$2000)*(D15&lt;=Contratos!$F$2:$F$2000),Contratos!$A$2:$A$2000,"")</f>
        <v>e6519542-cc79-4b71-bb1a-dedae13cc106</v>
      </c>
      <c r="B15" s="2" t="s">
        <v>52</v>
      </c>
      <c r="C15" s="15">
        <v>2024</v>
      </c>
      <c r="D15" s="10">
        <v>45667</v>
      </c>
      <c r="E15" t="s">
        <v>10</v>
      </c>
      <c r="F15">
        <v>4</v>
      </c>
      <c r="G15" t="s">
        <v>25</v>
      </c>
      <c r="H15" s="2">
        <v>600000</v>
      </c>
      <c r="I15" s="2">
        <v>58000</v>
      </c>
      <c r="J15" s="2">
        <v>20000</v>
      </c>
      <c r="K15" s="2">
        <f t="shared" si="0"/>
        <v>522000</v>
      </c>
    </row>
    <row r="16" spans="1:11" x14ac:dyDescent="0.25">
      <c r="A16" t="str" cm="1">
        <f t="array" ref="A16">_xlfn.XLOOKUP(1,(Contratos!$B$2:$B$2000=G16)*(D16&gt;=Contratos!$E$2:$E$2000)*(D16&lt;=Contratos!$F$2:$F$2000),Contratos!$A$2:$A$2000,"")</f>
        <v>c40dcd0a-2212-45b3-b5d4-2aac8818bdf9</v>
      </c>
      <c r="B16" s="2" t="s">
        <v>53</v>
      </c>
      <c r="C16" s="15">
        <v>2025</v>
      </c>
      <c r="D16" s="10">
        <v>45698</v>
      </c>
      <c r="E16" t="s">
        <v>7</v>
      </c>
      <c r="F16">
        <v>1</v>
      </c>
      <c r="G16" t="s">
        <v>12</v>
      </c>
      <c r="H16" s="2">
        <v>700000</v>
      </c>
      <c r="I16" s="2">
        <v>68000</v>
      </c>
      <c r="J16" s="2">
        <v>20000</v>
      </c>
      <c r="K16" s="2">
        <f>H16-SUM(I16:J16)</f>
        <v>612000</v>
      </c>
    </row>
    <row r="17" spans="1:11" x14ac:dyDescent="0.25">
      <c r="A17" t="str" cm="1">
        <f t="array" ref="A17">_xlfn.XLOOKUP(1,(Contratos!$B$2:$B$2000=G17)*(D17&gt;=Contratos!$E$2:$E$2000)*(D17&lt;=Contratos!$F$2:$F$2000),Contratos!$A$2:$A$2000,"")</f>
        <v>e09f74db-f923-4e51-8bce-340da723f0cc</v>
      </c>
      <c r="B17" s="2" t="s">
        <v>53</v>
      </c>
      <c r="C17" s="15">
        <v>2025</v>
      </c>
      <c r="D17" s="10">
        <v>45698</v>
      </c>
      <c r="E17" t="s">
        <v>7</v>
      </c>
      <c r="F17">
        <v>2</v>
      </c>
      <c r="G17" t="s">
        <v>13</v>
      </c>
      <c r="H17" s="2">
        <v>630000</v>
      </c>
      <c r="I17" s="2">
        <v>61000</v>
      </c>
      <c r="J17" s="2">
        <v>20000</v>
      </c>
      <c r="K17" s="2">
        <f t="shared" ref="K17:K29" si="1">H17-SUM(I17:J17)</f>
        <v>549000</v>
      </c>
    </row>
    <row r="18" spans="1:11" x14ac:dyDescent="0.25">
      <c r="A18" t="str" cm="1">
        <f t="array" ref="A18">_xlfn.XLOOKUP(1,(Contratos!$B$2:$B$2000=G18)*(D18&gt;=Contratos!$E$2:$E$2000)*(D18&lt;=Contratos!$F$2:$F$2000),Contratos!$A$2:$A$2000,"")</f>
        <v>8e4d74fa-ec72-4872-a04b-81c46e2fbd96</v>
      </c>
      <c r="B18" s="2" t="s">
        <v>53</v>
      </c>
      <c r="C18" s="15">
        <v>2025</v>
      </c>
      <c r="D18" s="10">
        <v>45698</v>
      </c>
      <c r="E18" t="s">
        <v>7</v>
      </c>
      <c r="F18">
        <v>3</v>
      </c>
      <c r="G18" t="s">
        <v>14</v>
      </c>
      <c r="H18" s="2">
        <v>600000</v>
      </c>
      <c r="I18" s="2">
        <v>60000</v>
      </c>
      <c r="J18" s="2">
        <v>0</v>
      </c>
      <c r="K18" s="2">
        <f t="shared" si="1"/>
        <v>540000</v>
      </c>
    </row>
    <row r="19" spans="1:11" x14ac:dyDescent="0.25">
      <c r="A19" t="str" cm="1">
        <f t="array" ref="A19">_xlfn.XLOOKUP(1,(Contratos!$B$2:$B$2000=G19)*(D19&gt;=Contratos!$E$2:$E$2000)*(D19&lt;=Contratos!$F$2:$F$2000),Contratos!$A$2:$A$2000,"")</f>
        <v/>
      </c>
      <c r="B19" s="2" t="s">
        <v>53</v>
      </c>
      <c r="C19" s="15">
        <v>2025</v>
      </c>
      <c r="D19" s="10">
        <v>45698</v>
      </c>
      <c r="E19" t="s">
        <v>8</v>
      </c>
      <c r="F19">
        <v>1</v>
      </c>
      <c r="G19" t="s">
        <v>15</v>
      </c>
      <c r="H19" s="2">
        <v>732100</v>
      </c>
      <c r="I19" s="2">
        <v>71210</v>
      </c>
      <c r="J19" s="2">
        <v>20000</v>
      </c>
      <c r="K19" s="2">
        <f t="shared" si="1"/>
        <v>640890</v>
      </c>
    </row>
    <row r="20" spans="1:11" x14ac:dyDescent="0.25">
      <c r="A20" t="str" cm="1">
        <f t="array" ref="A20">_xlfn.XLOOKUP(1,(Contratos!$B$2:$B$2000=G20)*(D20&gt;=Contratos!$E$2:$E$2000)*(D20&lt;=Contratos!$F$2:$F$2000),Contratos!$A$2:$A$2000,"")</f>
        <v/>
      </c>
      <c r="B20" s="2" t="s">
        <v>53</v>
      </c>
      <c r="C20" s="15">
        <v>2025</v>
      </c>
      <c r="D20" s="10">
        <v>45698</v>
      </c>
      <c r="E20" t="s">
        <v>8</v>
      </c>
      <c r="F20">
        <v>2</v>
      </c>
      <c r="G20" t="s">
        <v>16</v>
      </c>
      <c r="H20" s="2">
        <v>688000</v>
      </c>
      <c r="I20" s="2">
        <v>66800</v>
      </c>
      <c r="J20" s="2">
        <v>20000</v>
      </c>
      <c r="K20" s="2">
        <f t="shared" si="1"/>
        <v>601200</v>
      </c>
    </row>
    <row r="21" spans="1:11" x14ac:dyDescent="0.25">
      <c r="A21" t="str" cm="1">
        <f t="array" ref="A21">_xlfn.XLOOKUP(1,(Contratos!$B$2:$B$2000=G21)*(D21&gt;=Contratos!$E$2:$E$2000)*(D21&lt;=Contratos!$F$2:$F$2000),Contratos!$A$2:$A$2000,"")</f>
        <v/>
      </c>
      <c r="B21" s="2" t="s">
        <v>53</v>
      </c>
      <c r="C21" s="15">
        <v>2025</v>
      </c>
      <c r="D21" s="10">
        <v>45698</v>
      </c>
      <c r="E21" t="s">
        <v>8</v>
      </c>
      <c r="F21">
        <v>3</v>
      </c>
      <c r="G21" t="s">
        <v>17</v>
      </c>
      <c r="H21" s="2">
        <v>601000</v>
      </c>
      <c r="I21" s="2">
        <v>58000</v>
      </c>
      <c r="J21" s="2">
        <v>20000</v>
      </c>
      <c r="K21" s="2">
        <f t="shared" si="1"/>
        <v>523000</v>
      </c>
    </row>
    <row r="22" spans="1:11" x14ac:dyDescent="0.25">
      <c r="A22" t="str" cm="1">
        <f t="array" ref="A22">_xlfn.XLOOKUP(1,(Contratos!$B$2:$B$2000=G22)*(D22&gt;=Contratos!$E$2:$E$2000)*(D22&lt;=Contratos!$F$2:$F$2000),Contratos!$A$2:$A$2000,"")</f>
        <v/>
      </c>
      <c r="B22" s="2" t="s">
        <v>53</v>
      </c>
      <c r="C22" s="15">
        <v>2025</v>
      </c>
      <c r="D22" s="10">
        <v>45698</v>
      </c>
      <c r="E22" t="s">
        <v>9</v>
      </c>
      <c r="F22">
        <v>1</v>
      </c>
      <c r="G22" t="s">
        <v>18</v>
      </c>
      <c r="H22" s="2">
        <v>780000</v>
      </c>
      <c r="I22" s="2">
        <v>76000</v>
      </c>
      <c r="J22" s="2">
        <v>20000</v>
      </c>
      <c r="K22" s="2">
        <f t="shared" si="1"/>
        <v>684000</v>
      </c>
    </row>
    <row r="23" spans="1:11" x14ac:dyDescent="0.25">
      <c r="A23" t="str" cm="1">
        <f t="array" ref="A23">_xlfn.XLOOKUP(1,(Contratos!$B$2:$B$2000=G23)*(D23&gt;=Contratos!$E$2:$E$2000)*(D23&lt;=Contratos!$F$2:$F$2000),Contratos!$A$2:$A$2000,"")</f>
        <v>4c0d2b4b-0d3e-42de-af57-9305df4b2c02</v>
      </c>
      <c r="B23" s="2" t="s">
        <v>53</v>
      </c>
      <c r="C23" s="15">
        <v>2025</v>
      </c>
      <c r="D23" s="10">
        <v>45698</v>
      </c>
      <c r="E23" t="s">
        <v>9</v>
      </c>
      <c r="F23">
        <v>2</v>
      </c>
      <c r="G23" t="s">
        <v>19</v>
      </c>
      <c r="H23" s="2">
        <v>764000</v>
      </c>
      <c r="I23" s="2">
        <v>74400</v>
      </c>
      <c r="J23" s="2">
        <v>20000</v>
      </c>
      <c r="K23" s="2">
        <f t="shared" si="1"/>
        <v>669600</v>
      </c>
    </row>
    <row r="24" spans="1:11" x14ac:dyDescent="0.25">
      <c r="A24" t="str" cm="1">
        <f t="array" ref="A24">_xlfn.XLOOKUP(1,(Contratos!$B$2:$B$2000=G24)*(D24&gt;=Contratos!$E$2:$E$2000)*(D24&lt;=Contratos!$F$2:$F$2000),Contratos!$A$2:$A$2000,"")</f>
        <v>ec860adc-defd-41d8-a89b-21d87b7ea128</v>
      </c>
      <c r="B24" s="2" t="s">
        <v>53</v>
      </c>
      <c r="C24" s="15">
        <v>2025</v>
      </c>
      <c r="D24" s="10">
        <v>45698</v>
      </c>
      <c r="E24" t="s">
        <v>9</v>
      </c>
      <c r="F24">
        <v>3</v>
      </c>
      <c r="G24" t="s">
        <v>20</v>
      </c>
      <c r="H24" s="2">
        <v>700000</v>
      </c>
      <c r="I24" s="2">
        <v>68000</v>
      </c>
      <c r="J24" s="2">
        <v>20000</v>
      </c>
      <c r="K24" s="2">
        <f t="shared" si="1"/>
        <v>612000</v>
      </c>
    </row>
    <row r="25" spans="1:11" x14ac:dyDescent="0.25">
      <c r="A25" t="str" cm="1">
        <f t="array" ref="A25">_xlfn.XLOOKUP(1,(Contratos!$B$2:$B$2000=G25)*(D25&gt;=Contratos!$E$2:$E$2000)*(D25&lt;=Contratos!$F$2:$F$2000),Contratos!$A$2:$A$2000,"")</f>
        <v/>
      </c>
      <c r="B25" s="2" t="s">
        <v>53</v>
      </c>
      <c r="C25" s="15">
        <v>2025</v>
      </c>
      <c r="D25" s="10">
        <v>45698</v>
      </c>
      <c r="E25" t="s">
        <v>9</v>
      </c>
      <c r="F25">
        <v>4</v>
      </c>
      <c r="G25" t="s">
        <v>21</v>
      </c>
      <c r="H25" s="2">
        <v>620000</v>
      </c>
      <c r="I25" s="2">
        <v>60000</v>
      </c>
      <c r="J25" s="2">
        <v>20000</v>
      </c>
      <c r="K25" s="2">
        <f t="shared" si="1"/>
        <v>540000</v>
      </c>
    </row>
    <row r="26" spans="1:11" x14ac:dyDescent="0.25">
      <c r="A26" t="str" cm="1">
        <f t="array" ref="A26">_xlfn.XLOOKUP(1,(Contratos!$B$2:$B$2000=G26)*(D26&gt;=Contratos!$E$2:$E$2000)*(D26&lt;=Contratos!$F$2:$F$2000),Contratos!$A$2:$A$2000,"")</f>
        <v>16fbb6a2-d237-4dd2-8a6d-7bd76aa8645c</v>
      </c>
      <c r="B26" s="2" t="s">
        <v>53</v>
      </c>
      <c r="C26" s="15">
        <v>2025</v>
      </c>
      <c r="D26" s="10">
        <v>45698</v>
      </c>
      <c r="E26" t="s">
        <v>10</v>
      </c>
      <c r="F26">
        <v>1</v>
      </c>
      <c r="G26" t="s">
        <v>22</v>
      </c>
      <c r="H26" s="2">
        <v>660000</v>
      </c>
      <c r="I26" s="2">
        <v>64000</v>
      </c>
      <c r="J26" s="2">
        <v>20000</v>
      </c>
      <c r="K26" s="2">
        <f t="shared" si="1"/>
        <v>576000</v>
      </c>
    </row>
    <row r="27" spans="1:11" x14ac:dyDescent="0.25">
      <c r="A27" t="str" cm="1">
        <f t="array" ref="A27">_xlfn.XLOOKUP(1,(Contratos!$B$2:$B$2000=G27)*(D27&gt;=Contratos!$E$2:$E$2000)*(D27&lt;=Contratos!$F$2:$F$2000),Contratos!$A$2:$A$2000,"")</f>
        <v>10424221-9e53-4f28-aea8-3549e2e43b87</v>
      </c>
      <c r="B27" s="2" t="s">
        <v>53</v>
      </c>
      <c r="C27" s="15">
        <v>2025</v>
      </c>
      <c r="D27" s="10">
        <v>45698</v>
      </c>
      <c r="E27" t="s">
        <v>10</v>
      </c>
      <c r="F27">
        <v>2</v>
      </c>
      <c r="G27" t="s">
        <v>23</v>
      </c>
      <c r="H27" s="2">
        <v>670000</v>
      </c>
      <c r="I27" s="2">
        <v>65000</v>
      </c>
      <c r="J27" s="2">
        <v>20000</v>
      </c>
      <c r="K27" s="2">
        <f t="shared" si="1"/>
        <v>585000</v>
      </c>
    </row>
    <row r="28" spans="1:11" x14ac:dyDescent="0.25">
      <c r="A28" t="str" cm="1">
        <f t="array" ref="A28">_xlfn.XLOOKUP(1,(Contratos!$B$2:$B$2000=G28)*(D28&gt;=Contratos!$E$2:$E$2000)*(D28&lt;=Contratos!$F$2:$F$2000),Contratos!$A$2:$A$2000,"")</f>
        <v/>
      </c>
      <c r="B28" s="2" t="s">
        <v>53</v>
      </c>
      <c r="C28" s="15">
        <v>2025</v>
      </c>
      <c r="D28" s="10">
        <v>45698</v>
      </c>
      <c r="E28" t="s">
        <v>10</v>
      </c>
      <c r="F28">
        <v>3</v>
      </c>
      <c r="G28" t="s">
        <v>24</v>
      </c>
      <c r="H28" s="2">
        <v>650000</v>
      </c>
      <c r="I28" s="2">
        <v>63000</v>
      </c>
      <c r="J28" s="2">
        <v>20000</v>
      </c>
      <c r="K28" s="2">
        <f t="shared" si="1"/>
        <v>567000</v>
      </c>
    </row>
    <row r="29" spans="1:11" x14ac:dyDescent="0.25">
      <c r="A29" t="str" cm="1">
        <f t="array" ref="A29">_xlfn.XLOOKUP(1,(Contratos!$B$2:$B$2000=G29)*(D29&gt;=Contratos!$E$2:$E$2000)*(D29&lt;=Contratos!$F$2:$F$2000),Contratos!$A$2:$A$2000,"")</f>
        <v>e6519542-cc79-4b71-bb1a-dedae13cc106</v>
      </c>
      <c r="B29" s="2" t="s">
        <v>53</v>
      </c>
      <c r="C29" s="15">
        <v>2025</v>
      </c>
      <c r="D29" s="10">
        <v>45698</v>
      </c>
      <c r="E29" t="s">
        <v>10</v>
      </c>
      <c r="F29">
        <v>4</v>
      </c>
      <c r="G29" t="s">
        <v>25</v>
      </c>
      <c r="H29" s="2">
        <v>600000</v>
      </c>
      <c r="I29" s="2">
        <v>58000</v>
      </c>
      <c r="J29" s="2">
        <v>20000</v>
      </c>
      <c r="K29" s="2">
        <f t="shared" si="1"/>
        <v>522000</v>
      </c>
    </row>
    <row r="30" spans="1:11" x14ac:dyDescent="0.25">
      <c r="A30" t="str" cm="1">
        <f t="array" ref="A30">_xlfn.XLOOKUP(1,(Contratos!$B$2:$B$2000=G30)*(D30&gt;=Contratos!$E$2:$E$2000)*(D30&lt;=Contratos!$F$2:$F$2000),Contratos!$A$2:$A$2000,"")</f>
        <v/>
      </c>
      <c r="B30" s="2" t="s">
        <v>54</v>
      </c>
      <c r="C30" s="15">
        <v>2025</v>
      </c>
      <c r="D30" s="10">
        <v>45730</v>
      </c>
      <c r="E30" t="s">
        <v>7</v>
      </c>
      <c r="F30">
        <v>1</v>
      </c>
      <c r="G30" t="s">
        <v>12</v>
      </c>
      <c r="H30" s="14">
        <v>700000</v>
      </c>
      <c r="I30" s="2">
        <v>68000</v>
      </c>
      <c r="J30" s="2">
        <v>20000</v>
      </c>
      <c r="K30" s="2">
        <f>H30-SUM(I30:J30)</f>
        <v>612000</v>
      </c>
    </row>
    <row r="31" spans="1:11" x14ac:dyDescent="0.25">
      <c r="A31" t="str" cm="1">
        <f t="array" ref="A31">_xlfn.XLOOKUP(1,(Contratos!$B$2:$B$2000=G31)*(D31&gt;=Contratos!$E$2:$E$2000)*(D31&lt;=Contratos!$F$2:$F$2000),Contratos!$A$2:$A$2000,"")</f>
        <v/>
      </c>
      <c r="B31" s="2" t="s">
        <v>54</v>
      </c>
      <c r="C31" s="15">
        <v>2025</v>
      </c>
      <c r="D31" s="10">
        <v>45730</v>
      </c>
      <c r="E31" t="s">
        <v>7</v>
      </c>
      <c r="F31">
        <v>1</v>
      </c>
      <c r="G31" t="s">
        <v>12</v>
      </c>
      <c r="H31" s="9">
        <v>233000</v>
      </c>
      <c r="I31" s="2">
        <v>0</v>
      </c>
      <c r="J31" s="2">
        <v>0</v>
      </c>
      <c r="K31" s="2">
        <f>H31-SUM(I31:J31)</f>
        <v>233000</v>
      </c>
    </row>
    <row r="32" spans="1:11" x14ac:dyDescent="0.25">
      <c r="A32" t="str" cm="1">
        <f t="array" ref="A32">_xlfn.XLOOKUP(1,(Contratos!$B$2:$B$2000=G32)*(D32&gt;=Contratos!$E$2:$E$2000)*(D32&lt;=Contratos!$F$2:$F$2000),Contratos!$A$2:$A$2000,"")</f>
        <v>e09f74db-f923-4e51-8bce-340da723f0cc</v>
      </c>
      <c r="B32" s="2" t="s">
        <v>54</v>
      </c>
      <c r="C32" s="15">
        <v>2025</v>
      </c>
      <c r="D32" s="10">
        <v>45730</v>
      </c>
      <c r="E32" t="s">
        <v>7</v>
      </c>
      <c r="F32">
        <v>2</v>
      </c>
      <c r="G32" t="s">
        <v>13</v>
      </c>
      <c r="H32" s="2">
        <v>630000</v>
      </c>
      <c r="I32" s="2">
        <v>61000</v>
      </c>
      <c r="J32" s="2">
        <v>20000</v>
      </c>
      <c r="K32" s="2">
        <f t="shared" ref="K32:K44" si="2">H32-SUM(I32:J32)</f>
        <v>549000</v>
      </c>
    </row>
    <row r="33" spans="1:11" x14ac:dyDescent="0.25">
      <c r="A33" t="str" cm="1">
        <f t="array" ref="A33">_xlfn.XLOOKUP(1,(Contratos!$B$2:$B$2000=G33)*(D33&gt;=Contratos!$E$2:$E$2000)*(D33&lt;=Contratos!$F$2:$F$2000),Contratos!$A$2:$A$2000,"")</f>
        <v>8e4d74fa-ec72-4872-a04b-81c46e2fbd96</v>
      </c>
      <c r="B33" s="2" t="s">
        <v>54</v>
      </c>
      <c r="C33" s="15">
        <v>2025</v>
      </c>
      <c r="D33" s="10">
        <v>45730</v>
      </c>
      <c r="E33" t="s">
        <v>7</v>
      </c>
      <c r="F33">
        <v>3</v>
      </c>
      <c r="G33" t="s">
        <v>14</v>
      </c>
      <c r="H33" s="2">
        <v>600000</v>
      </c>
      <c r="I33" s="2">
        <v>60000</v>
      </c>
      <c r="J33" s="2">
        <v>0</v>
      </c>
      <c r="K33" s="2">
        <f t="shared" si="2"/>
        <v>540000</v>
      </c>
    </row>
    <row r="34" spans="1:11" x14ac:dyDescent="0.25">
      <c r="A34" t="str" cm="1">
        <f t="array" ref="A34">_xlfn.XLOOKUP(1,(Contratos!$B$2:$B$2000=G34)*(D34&gt;=Contratos!$E$2:$E$2000)*(D34&lt;=Contratos!$F$2:$F$2000),Contratos!$A$2:$A$2000,"")</f>
        <v/>
      </c>
      <c r="B34" s="2" t="s">
        <v>54</v>
      </c>
      <c r="C34" s="15">
        <v>2025</v>
      </c>
      <c r="D34" s="10">
        <v>45730</v>
      </c>
      <c r="E34" t="s">
        <v>8</v>
      </c>
      <c r="F34">
        <v>1</v>
      </c>
      <c r="G34" t="s">
        <v>15</v>
      </c>
      <c r="H34" s="2">
        <v>732100</v>
      </c>
      <c r="I34" s="2">
        <v>71210</v>
      </c>
      <c r="J34" s="2">
        <v>20000</v>
      </c>
      <c r="K34" s="2">
        <f t="shared" si="2"/>
        <v>640890</v>
      </c>
    </row>
    <row r="35" spans="1:11" x14ac:dyDescent="0.25">
      <c r="A35" t="str" cm="1">
        <f t="array" ref="A35">_xlfn.XLOOKUP(1,(Contratos!$B$2:$B$2000=G35)*(D35&gt;=Contratos!$E$2:$E$2000)*(D35&lt;=Contratos!$F$2:$F$2000),Contratos!$A$2:$A$2000,"")</f>
        <v/>
      </c>
      <c r="B35" s="2" t="s">
        <v>54</v>
      </c>
      <c r="C35" s="15">
        <v>2025</v>
      </c>
      <c r="D35" s="10">
        <v>45730</v>
      </c>
      <c r="E35" t="s">
        <v>8</v>
      </c>
      <c r="F35">
        <v>2</v>
      </c>
      <c r="G35" t="s">
        <v>16</v>
      </c>
      <c r="H35" s="2">
        <v>688000</v>
      </c>
      <c r="I35" s="2">
        <v>66800</v>
      </c>
      <c r="J35" s="2">
        <v>20000</v>
      </c>
      <c r="K35" s="2">
        <f t="shared" si="2"/>
        <v>601200</v>
      </c>
    </row>
    <row r="36" spans="1:11" x14ac:dyDescent="0.25">
      <c r="A36" t="str" cm="1">
        <f t="array" ref="A36">_xlfn.XLOOKUP(1,(Contratos!$B$2:$B$2000=G36)*(D36&gt;=Contratos!$E$2:$E$2000)*(D36&lt;=Contratos!$F$2:$F$2000),Contratos!$A$2:$A$2000,"")</f>
        <v/>
      </c>
      <c r="B36" s="2" t="s">
        <v>54</v>
      </c>
      <c r="C36" s="15">
        <v>2025</v>
      </c>
      <c r="D36" s="10">
        <v>45730</v>
      </c>
      <c r="E36" t="s">
        <v>8</v>
      </c>
      <c r="F36">
        <v>3</v>
      </c>
      <c r="G36" t="s">
        <v>17</v>
      </c>
      <c r="H36" s="2">
        <v>601000</v>
      </c>
      <c r="I36" s="2">
        <v>58000</v>
      </c>
      <c r="J36" s="2">
        <v>20000</v>
      </c>
      <c r="K36" s="2">
        <f t="shared" si="2"/>
        <v>523000</v>
      </c>
    </row>
    <row r="37" spans="1:11" x14ac:dyDescent="0.25">
      <c r="A37" t="str" cm="1">
        <f t="array" ref="A37">_xlfn.XLOOKUP(1,(Contratos!$B$2:$B$2000=G37)*(D37&gt;=Contratos!$E$2:$E$2000)*(D37&lt;=Contratos!$F$2:$F$2000),Contratos!$A$2:$A$2000,"")</f>
        <v/>
      </c>
      <c r="B37" s="2" t="s">
        <v>54</v>
      </c>
      <c r="C37" s="15">
        <v>2025</v>
      </c>
      <c r="D37" s="10">
        <v>45730</v>
      </c>
      <c r="E37" t="s">
        <v>9</v>
      </c>
      <c r="F37">
        <v>1</v>
      </c>
      <c r="G37" t="s">
        <v>18</v>
      </c>
      <c r="H37" s="2">
        <v>820000</v>
      </c>
      <c r="I37" s="2">
        <v>80000</v>
      </c>
      <c r="J37" s="2">
        <v>20000</v>
      </c>
      <c r="K37" s="2">
        <f t="shared" si="2"/>
        <v>720000</v>
      </c>
    </row>
    <row r="38" spans="1:11" x14ac:dyDescent="0.25">
      <c r="A38" t="str" cm="1">
        <f t="array" ref="A38">_xlfn.XLOOKUP(1,(Contratos!$B$2:$B$2000=G38)*(D38&gt;=Contratos!$E$2:$E$2000)*(D38&lt;=Contratos!$F$2:$F$2000),Contratos!$A$2:$A$2000,"")</f>
        <v>4c0d2b4b-0d3e-42de-af57-9305df4b2c02</v>
      </c>
      <c r="B38" s="2" t="s">
        <v>54</v>
      </c>
      <c r="C38" s="15">
        <v>2025</v>
      </c>
      <c r="D38" s="10">
        <v>45730</v>
      </c>
      <c r="E38" t="s">
        <v>9</v>
      </c>
      <c r="F38">
        <v>2</v>
      </c>
      <c r="G38" t="s">
        <v>19</v>
      </c>
      <c r="H38" s="2">
        <v>764000</v>
      </c>
      <c r="I38" s="2">
        <v>74400</v>
      </c>
      <c r="J38" s="2">
        <v>20000</v>
      </c>
      <c r="K38" s="2">
        <f t="shared" si="2"/>
        <v>669600</v>
      </c>
    </row>
    <row r="39" spans="1:11" x14ac:dyDescent="0.25">
      <c r="A39" t="str" cm="1">
        <f t="array" ref="A39">_xlfn.XLOOKUP(1,(Contratos!$B$2:$B$2000=G39)*(D39&gt;=Contratos!$E$2:$E$2000)*(D39&lt;=Contratos!$F$2:$F$2000),Contratos!$A$2:$A$2000,"")</f>
        <v>ec860adc-defd-41d8-a89b-21d87b7ea128</v>
      </c>
      <c r="B39" s="2" t="s">
        <v>54</v>
      </c>
      <c r="C39" s="15">
        <v>2025</v>
      </c>
      <c r="D39" s="10">
        <v>45730</v>
      </c>
      <c r="E39" t="s">
        <v>9</v>
      </c>
      <c r="F39">
        <v>3</v>
      </c>
      <c r="G39" t="s">
        <v>20</v>
      </c>
      <c r="H39" s="2">
        <v>700000</v>
      </c>
      <c r="I39" s="2">
        <v>68000</v>
      </c>
      <c r="J39" s="2">
        <v>20000</v>
      </c>
      <c r="K39" s="2">
        <f t="shared" si="2"/>
        <v>612000</v>
      </c>
    </row>
    <row r="40" spans="1:11" x14ac:dyDescent="0.25">
      <c r="A40" t="str" cm="1">
        <f t="array" ref="A40">_xlfn.XLOOKUP(1,(Contratos!$B$2:$B$2000=G40)*(D40&gt;=Contratos!$E$2:$E$2000)*(D40&lt;=Contratos!$F$2:$F$2000),Contratos!$A$2:$A$2000,"")</f>
        <v/>
      </c>
      <c r="B40" s="2" t="s">
        <v>54</v>
      </c>
      <c r="C40" s="15">
        <v>2025</v>
      </c>
      <c r="D40" s="10">
        <v>45730</v>
      </c>
      <c r="E40" t="s">
        <v>9</v>
      </c>
      <c r="F40">
        <v>4</v>
      </c>
      <c r="G40" t="s">
        <v>21</v>
      </c>
      <c r="H40" s="2">
        <v>620000</v>
      </c>
      <c r="I40" s="2">
        <v>60000</v>
      </c>
      <c r="J40" s="2">
        <v>20000</v>
      </c>
      <c r="K40" s="2">
        <f t="shared" si="2"/>
        <v>540000</v>
      </c>
    </row>
    <row r="41" spans="1:11" x14ac:dyDescent="0.25">
      <c r="A41" t="str" cm="1">
        <f t="array" ref="A41">_xlfn.XLOOKUP(1,(Contratos!$B$2:$B$2000=G41)*(D41&gt;=Contratos!$E$2:$E$2000)*(D41&lt;=Contratos!$F$2:$F$2000),Contratos!$A$2:$A$2000,"")</f>
        <v>16fbb6a2-d237-4dd2-8a6d-7bd76aa8645c</v>
      </c>
      <c r="B41" s="2" t="s">
        <v>54</v>
      </c>
      <c r="C41" s="15">
        <v>2025</v>
      </c>
      <c r="D41" s="10">
        <v>45730</v>
      </c>
      <c r="E41" t="s">
        <v>10</v>
      </c>
      <c r="F41">
        <v>1</v>
      </c>
      <c r="G41" t="s">
        <v>22</v>
      </c>
      <c r="H41" s="2">
        <v>660000</v>
      </c>
      <c r="I41" s="2">
        <v>64000</v>
      </c>
      <c r="J41" s="2">
        <v>20000</v>
      </c>
      <c r="K41" s="2">
        <f t="shared" si="2"/>
        <v>576000</v>
      </c>
    </row>
    <row r="42" spans="1:11" x14ac:dyDescent="0.25">
      <c r="A42" t="str" cm="1">
        <f t="array" ref="A42">_xlfn.XLOOKUP(1,(Contratos!$B$2:$B$2000=G42)*(D42&gt;=Contratos!$E$2:$E$2000)*(D42&lt;=Contratos!$F$2:$F$2000),Contratos!$A$2:$A$2000,"")</f>
        <v>10424221-9e53-4f28-aea8-3549e2e43b87</v>
      </c>
      <c r="B42" s="2" t="s">
        <v>54</v>
      </c>
      <c r="C42" s="15">
        <v>2025</v>
      </c>
      <c r="D42" s="10">
        <v>45730</v>
      </c>
      <c r="E42" t="s">
        <v>10</v>
      </c>
      <c r="F42">
        <v>2</v>
      </c>
      <c r="G42" t="s">
        <v>23</v>
      </c>
      <c r="H42" s="2">
        <v>670000</v>
      </c>
      <c r="I42" s="2">
        <v>65000</v>
      </c>
      <c r="J42" s="2">
        <v>20000</v>
      </c>
      <c r="K42" s="2">
        <f t="shared" si="2"/>
        <v>585000</v>
      </c>
    </row>
    <row r="43" spans="1:11" x14ac:dyDescent="0.25">
      <c r="A43" t="str" cm="1">
        <f t="array" ref="A43">_xlfn.XLOOKUP(1,(Contratos!$B$2:$B$2000=G43)*(D43&gt;=Contratos!$E$2:$E$2000)*(D43&lt;=Contratos!$F$2:$F$2000),Contratos!$A$2:$A$2000,"")</f>
        <v/>
      </c>
      <c r="B43" s="2" t="s">
        <v>54</v>
      </c>
      <c r="C43" s="15">
        <v>2025</v>
      </c>
      <c r="D43" s="10">
        <v>45730</v>
      </c>
      <c r="E43" t="s">
        <v>10</v>
      </c>
      <c r="F43">
        <v>3</v>
      </c>
      <c r="G43" t="s">
        <v>24</v>
      </c>
      <c r="H43" s="2">
        <v>650000</v>
      </c>
      <c r="I43" s="2">
        <v>63000</v>
      </c>
      <c r="J43" s="2">
        <v>20000</v>
      </c>
      <c r="K43" s="2">
        <f t="shared" si="2"/>
        <v>567000</v>
      </c>
    </row>
    <row r="44" spans="1:11" x14ac:dyDescent="0.25">
      <c r="A44" t="str" cm="1">
        <f t="array" ref="A44">_xlfn.XLOOKUP(1,(Contratos!$B$2:$B$2000=G44)*(D44&gt;=Contratos!$E$2:$E$2000)*(D44&lt;=Contratos!$F$2:$F$2000),Contratos!$A$2:$A$2000,"")</f>
        <v>8dc982a8-8e30-4eb7-905c-fb55c4175ca4</v>
      </c>
      <c r="B44" s="2" t="s">
        <v>54</v>
      </c>
      <c r="C44" s="15">
        <v>2025</v>
      </c>
      <c r="D44" s="10">
        <v>45730</v>
      </c>
      <c r="E44" t="s">
        <v>10</v>
      </c>
      <c r="F44">
        <v>4</v>
      </c>
      <c r="G44" t="s">
        <v>25</v>
      </c>
      <c r="H44" s="2">
        <v>600000</v>
      </c>
      <c r="I44" s="2">
        <v>58000</v>
      </c>
      <c r="J44" s="2">
        <v>20000</v>
      </c>
      <c r="K44" s="2">
        <f t="shared" si="2"/>
        <v>522000</v>
      </c>
    </row>
    <row r="45" spans="1:11" x14ac:dyDescent="0.25">
      <c r="A45" t="str" cm="1">
        <f t="array" ref="A45">_xlfn.XLOOKUP(1,(Contratos!$B$2:$B$2000=G45)*(D45&gt;=Contratos!$E$2:$E$2000)*(D45&lt;=Contratos!$F$2:$F$2000),Contratos!$A$2:$A$2000,"")</f>
        <v>0f257e4c-3331-4e0e-869e-42c5a332a2a1</v>
      </c>
      <c r="B45" s="2" t="s">
        <v>55</v>
      </c>
      <c r="C45" s="15">
        <v>2025</v>
      </c>
      <c r="D45" s="10">
        <v>45755</v>
      </c>
      <c r="E45" t="s">
        <v>7</v>
      </c>
      <c r="F45">
        <v>1</v>
      </c>
      <c r="G45" t="s">
        <v>12</v>
      </c>
      <c r="H45" s="2">
        <v>700000</v>
      </c>
      <c r="I45" s="2">
        <v>68000</v>
      </c>
      <c r="J45" s="2">
        <v>20000</v>
      </c>
      <c r="K45" s="2">
        <f>H45-SUM(I45:J45)</f>
        <v>612000</v>
      </c>
    </row>
    <row r="46" spans="1:11" x14ac:dyDescent="0.25">
      <c r="A46" t="str" cm="1">
        <f t="array" ref="A46">_xlfn.XLOOKUP(1,(Contratos!$B$2:$B$2000=G46)*(D46&gt;=Contratos!$E$2:$E$2000)*(D46&lt;=Contratos!$F$2:$F$2000),Contratos!$A$2:$A$2000,"")</f>
        <v>e09f74db-f923-4e51-8bce-340da723f0cc</v>
      </c>
      <c r="B46" s="2" t="s">
        <v>55</v>
      </c>
      <c r="C46" s="15">
        <v>2025</v>
      </c>
      <c r="D46" s="10">
        <v>45755</v>
      </c>
      <c r="E46" t="s">
        <v>7</v>
      </c>
      <c r="F46">
        <v>2</v>
      </c>
      <c r="G46" t="s">
        <v>13</v>
      </c>
      <c r="H46" s="2">
        <v>630000</v>
      </c>
      <c r="I46" s="2">
        <v>61000</v>
      </c>
      <c r="J46" s="2">
        <v>20000</v>
      </c>
      <c r="K46" s="2">
        <f t="shared" ref="K46:K58" si="3">H46-SUM(I46:J46)</f>
        <v>549000</v>
      </c>
    </row>
    <row r="47" spans="1:11" x14ac:dyDescent="0.25">
      <c r="A47" t="str" cm="1">
        <f t="array" ref="A47">_xlfn.XLOOKUP(1,(Contratos!$B$2:$B$2000=G47)*(D47&gt;=Contratos!$E$2:$E$2000)*(D47&lt;=Contratos!$F$2:$F$2000),Contratos!$A$2:$A$2000,"")</f>
        <v>8e4d74fa-ec72-4872-a04b-81c46e2fbd96</v>
      </c>
      <c r="B47" s="2" t="s">
        <v>55</v>
      </c>
      <c r="C47" s="15">
        <v>2025</v>
      </c>
      <c r="D47" s="10">
        <v>45755</v>
      </c>
      <c r="E47" t="s">
        <v>7</v>
      </c>
      <c r="F47">
        <v>3</v>
      </c>
      <c r="G47" t="s">
        <v>14</v>
      </c>
      <c r="H47" s="2">
        <v>600000</v>
      </c>
      <c r="I47" s="2">
        <v>60000</v>
      </c>
      <c r="J47" s="2">
        <v>0</v>
      </c>
      <c r="K47" s="2">
        <f t="shared" si="3"/>
        <v>540000</v>
      </c>
    </row>
    <row r="48" spans="1:11" x14ac:dyDescent="0.25">
      <c r="A48" t="str" cm="1">
        <f t="array" ref="A48">_xlfn.XLOOKUP(1,(Contratos!$B$2:$B$2000=G48)*(D48&gt;=Contratos!$E$2:$E$2000)*(D48&lt;=Contratos!$F$2:$F$2000),Contratos!$A$2:$A$2000,"")</f>
        <v/>
      </c>
      <c r="B48" s="2" t="s">
        <v>55</v>
      </c>
      <c r="C48" s="15">
        <v>2025</v>
      </c>
      <c r="D48" s="10">
        <v>45755</v>
      </c>
      <c r="E48" t="s">
        <v>8</v>
      </c>
      <c r="F48">
        <v>1</v>
      </c>
      <c r="G48" t="s">
        <v>15</v>
      </c>
      <c r="H48" s="2">
        <v>732100</v>
      </c>
      <c r="I48" s="2">
        <v>71210</v>
      </c>
      <c r="J48" s="2">
        <v>20000</v>
      </c>
      <c r="K48" s="2">
        <f t="shared" si="3"/>
        <v>640890</v>
      </c>
    </row>
    <row r="49" spans="1:11" x14ac:dyDescent="0.25">
      <c r="A49" t="str" cm="1">
        <f t="array" ref="A49">_xlfn.XLOOKUP(1,(Contratos!$B$2:$B$2000=G49)*(D49&gt;=Contratos!$E$2:$E$2000)*(D49&lt;=Contratos!$F$2:$F$2000),Contratos!$A$2:$A$2000,"")</f>
        <v/>
      </c>
      <c r="B49" s="2" t="s">
        <v>55</v>
      </c>
      <c r="C49" s="15">
        <v>2025</v>
      </c>
      <c r="D49" s="10">
        <v>45755</v>
      </c>
      <c r="E49" t="s">
        <v>8</v>
      </c>
      <c r="F49">
        <v>2</v>
      </c>
      <c r="G49" t="s">
        <v>16</v>
      </c>
      <c r="H49" s="2">
        <v>688000</v>
      </c>
      <c r="I49" s="2">
        <v>66800</v>
      </c>
      <c r="J49" s="2">
        <v>20000</v>
      </c>
      <c r="K49" s="2">
        <f t="shared" si="3"/>
        <v>601200</v>
      </c>
    </row>
    <row r="50" spans="1:11" x14ac:dyDescent="0.25">
      <c r="A50" t="str" cm="1">
        <f t="array" ref="A50">_xlfn.XLOOKUP(1,(Contratos!$B$2:$B$2000=G50)*(D50&gt;=Contratos!$E$2:$E$2000)*(D50&lt;=Contratos!$F$2:$F$2000),Contratos!$A$2:$A$2000,"")</f>
        <v/>
      </c>
      <c r="B50" s="2" t="s">
        <v>55</v>
      </c>
      <c r="C50" s="15">
        <v>2025</v>
      </c>
      <c r="D50" s="10">
        <v>45755</v>
      </c>
      <c r="E50" t="s">
        <v>8</v>
      </c>
      <c r="F50">
        <v>3</v>
      </c>
      <c r="G50" t="s">
        <v>17</v>
      </c>
      <c r="H50" s="2">
        <v>632200</v>
      </c>
      <c r="I50" s="2">
        <v>61220</v>
      </c>
      <c r="J50" s="2">
        <v>20000</v>
      </c>
      <c r="K50" s="2">
        <f t="shared" si="3"/>
        <v>550980</v>
      </c>
    </row>
    <row r="51" spans="1:11" x14ac:dyDescent="0.25">
      <c r="A51" t="str" cm="1">
        <f t="array" ref="A51">_xlfn.XLOOKUP(1,(Contratos!$B$2:$B$2000=G51)*(D51&gt;=Contratos!$E$2:$E$2000)*(D51&lt;=Contratos!$F$2:$F$2000),Contratos!$A$2:$A$2000,"")</f>
        <v/>
      </c>
      <c r="B51" s="2" t="s">
        <v>55</v>
      </c>
      <c r="C51" s="15">
        <v>2025</v>
      </c>
      <c r="D51" s="10">
        <v>45755</v>
      </c>
      <c r="E51" t="s">
        <v>9</v>
      </c>
      <c r="F51">
        <v>1</v>
      </c>
      <c r="G51" t="s">
        <v>18</v>
      </c>
      <c r="H51" s="2">
        <v>820000</v>
      </c>
      <c r="I51" s="2">
        <v>80000</v>
      </c>
      <c r="J51" s="2">
        <v>20000</v>
      </c>
      <c r="K51" s="2">
        <f t="shared" si="3"/>
        <v>720000</v>
      </c>
    </row>
    <row r="52" spans="1:11" x14ac:dyDescent="0.25">
      <c r="A52" t="str" cm="1">
        <f t="array" ref="A52">_xlfn.XLOOKUP(1,(Contratos!$B$2:$B$2000=G52)*(D52&gt;=Contratos!$E$2:$E$2000)*(D52&lt;=Contratos!$F$2:$F$2000),Contratos!$A$2:$A$2000,"")</f>
        <v>4c0d2b4b-0d3e-42de-af57-9305df4b2c02</v>
      </c>
      <c r="B52" s="2" t="s">
        <v>55</v>
      </c>
      <c r="C52" s="15">
        <v>2025</v>
      </c>
      <c r="D52" s="10">
        <v>45755</v>
      </c>
      <c r="E52" t="s">
        <v>9</v>
      </c>
      <c r="F52">
        <v>2</v>
      </c>
      <c r="G52" t="s">
        <v>19</v>
      </c>
      <c r="H52" s="2">
        <v>764000</v>
      </c>
      <c r="I52" s="2">
        <v>74400</v>
      </c>
      <c r="J52" s="2">
        <v>20000</v>
      </c>
      <c r="K52" s="2">
        <f t="shared" si="3"/>
        <v>669600</v>
      </c>
    </row>
    <row r="53" spans="1:11" x14ac:dyDescent="0.25">
      <c r="A53" t="str" cm="1">
        <f t="array" ref="A53">_xlfn.XLOOKUP(1,(Contratos!$B$2:$B$2000=G53)*(D53&gt;=Contratos!$E$2:$E$2000)*(D53&lt;=Contratos!$F$2:$F$2000),Contratos!$A$2:$A$2000,"")</f>
        <v>ec860adc-defd-41d8-a89b-21d87b7ea128</v>
      </c>
      <c r="B53" s="2" t="s">
        <v>55</v>
      </c>
      <c r="C53" s="15">
        <v>2025</v>
      </c>
      <c r="D53" s="10">
        <v>45755</v>
      </c>
      <c r="E53" t="s">
        <v>9</v>
      </c>
      <c r="F53">
        <v>3</v>
      </c>
      <c r="G53" t="s">
        <v>20</v>
      </c>
      <c r="H53" s="2">
        <v>700000</v>
      </c>
      <c r="I53" s="2">
        <v>68000</v>
      </c>
      <c r="J53" s="2">
        <v>20000</v>
      </c>
      <c r="K53" s="2">
        <f t="shared" si="3"/>
        <v>612000</v>
      </c>
    </row>
    <row r="54" spans="1:11" x14ac:dyDescent="0.25">
      <c r="A54" t="str" cm="1">
        <f t="array" ref="A54">_xlfn.XLOOKUP(1,(Contratos!$B$2:$B$2000=G54)*(D54&gt;=Contratos!$E$2:$E$2000)*(D54&lt;=Contratos!$F$2:$F$2000),Contratos!$A$2:$A$2000,"")</f>
        <v/>
      </c>
      <c r="B54" s="2" t="s">
        <v>55</v>
      </c>
      <c r="C54" s="15">
        <v>2025</v>
      </c>
      <c r="D54" s="10">
        <v>45755</v>
      </c>
      <c r="E54" t="s">
        <v>9</v>
      </c>
      <c r="F54">
        <v>4</v>
      </c>
      <c r="G54" t="s">
        <v>21</v>
      </c>
      <c r="H54" s="2">
        <v>620000</v>
      </c>
      <c r="I54" s="2">
        <v>60000</v>
      </c>
      <c r="J54" s="2">
        <v>20000</v>
      </c>
      <c r="K54" s="2">
        <f t="shared" si="3"/>
        <v>540000</v>
      </c>
    </row>
    <row r="55" spans="1:11" x14ac:dyDescent="0.25">
      <c r="A55" t="str" cm="1">
        <f t="array" ref="A55">_xlfn.XLOOKUP(1,(Contratos!$B$2:$B$2000=G55)*(D55&gt;=Contratos!$E$2:$E$2000)*(D55&lt;=Contratos!$F$2:$F$2000),Contratos!$A$2:$A$2000,"")</f>
        <v>16fbb6a2-d237-4dd2-8a6d-7bd76aa8645c</v>
      </c>
      <c r="B55" s="2" t="s">
        <v>55</v>
      </c>
      <c r="C55" s="15">
        <v>2025</v>
      </c>
      <c r="D55" s="10">
        <v>45755</v>
      </c>
      <c r="E55" t="s">
        <v>10</v>
      </c>
      <c r="F55">
        <v>1</v>
      </c>
      <c r="G55" t="s">
        <v>22</v>
      </c>
      <c r="H55" s="2">
        <v>660000</v>
      </c>
      <c r="I55" s="2">
        <v>64000</v>
      </c>
      <c r="J55" s="2">
        <v>20000</v>
      </c>
      <c r="K55" s="2">
        <f t="shared" si="3"/>
        <v>576000</v>
      </c>
    </row>
    <row r="56" spans="1:11" x14ac:dyDescent="0.25">
      <c r="A56" t="str" cm="1">
        <f t="array" ref="A56">_xlfn.XLOOKUP(1,(Contratos!$B$2:$B$2000=G56)*(D56&gt;=Contratos!$E$2:$E$2000)*(D56&lt;=Contratos!$F$2:$F$2000),Contratos!$A$2:$A$2000,"")</f>
        <v>10424221-9e53-4f28-aea8-3549e2e43b87</v>
      </c>
      <c r="B56" s="2" t="s">
        <v>55</v>
      </c>
      <c r="C56" s="15">
        <v>2025</v>
      </c>
      <c r="D56" s="10">
        <v>45755</v>
      </c>
      <c r="E56" t="s">
        <v>10</v>
      </c>
      <c r="F56">
        <v>2</v>
      </c>
      <c r="G56" t="s">
        <v>23</v>
      </c>
      <c r="H56" s="2">
        <v>670000</v>
      </c>
      <c r="I56" s="2">
        <v>65000</v>
      </c>
      <c r="J56" s="2">
        <v>20000</v>
      </c>
      <c r="K56" s="2">
        <f t="shared" si="3"/>
        <v>585000</v>
      </c>
    </row>
    <row r="57" spans="1:11" x14ac:dyDescent="0.25">
      <c r="A57" t="str" cm="1">
        <f t="array" ref="A57">_xlfn.XLOOKUP(1,(Contratos!$B$2:$B$2000=G57)*(D57&gt;=Contratos!$E$2:$E$2000)*(D57&lt;=Contratos!$F$2:$F$2000),Contratos!$A$2:$A$2000,"")</f>
        <v/>
      </c>
      <c r="B57" s="2" t="s">
        <v>55</v>
      </c>
      <c r="C57" s="15">
        <v>2025</v>
      </c>
      <c r="D57" s="10">
        <v>45755</v>
      </c>
      <c r="E57" t="s">
        <v>10</v>
      </c>
      <c r="F57">
        <v>3</v>
      </c>
      <c r="G57" t="s">
        <v>24</v>
      </c>
      <c r="H57" s="2">
        <v>650000</v>
      </c>
      <c r="I57" s="2">
        <v>63000</v>
      </c>
      <c r="J57" s="2">
        <v>20000</v>
      </c>
      <c r="K57" s="2">
        <f t="shared" si="3"/>
        <v>567000</v>
      </c>
    </row>
    <row r="58" spans="1:11" x14ac:dyDescent="0.25">
      <c r="A58" t="str" cm="1">
        <f t="array" ref="A58">_xlfn.XLOOKUP(1,(Contratos!$B$2:$B$2000=G58)*(D58&gt;=Contratos!$E$2:$E$2000)*(D58&lt;=Contratos!$F$2:$F$2000),Contratos!$A$2:$A$2000,"")</f>
        <v>8dc982a8-8e30-4eb7-905c-fb55c4175ca4</v>
      </c>
      <c r="B58" s="2" t="s">
        <v>55</v>
      </c>
      <c r="C58" s="15">
        <v>2025</v>
      </c>
      <c r="D58" s="10">
        <v>45755</v>
      </c>
      <c r="E58" t="s">
        <v>10</v>
      </c>
      <c r="F58">
        <v>4</v>
      </c>
      <c r="G58" t="s">
        <v>25</v>
      </c>
      <c r="H58" s="2">
        <v>600000</v>
      </c>
      <c r="I58" s="2">
        <v>58000</v>
      </c>
      <c r="J58" s="2">
        <v>20000</v>
      </c>
      <c r="K58" s="2">
        <f t="shared" si="3"/>
        <v>522000</v>
      </c>
    </row>
    <row r="59" spans="1:11" x14ac:dyDescent="0.25">
      <c r="A59" t="str" cm="1">
        <f t="array" ref="A59">_xlfn.XLOOKUP(1,(Contratos!$B$2:$B$2000=G59)*(D59&gt;=Contratos!$E$2:$E$2000)*(D59&lt;=Contratos!$F$2:$F$2000),Contratos!$A$2:$A$2000,"")</f>
        <v>0f257e4c-3331-4e0e-869e-42c5a332a2a1</v>
      </c>
      <c r="B59" s="2" t="s">
        <v>56</v>
      </c>
      <c r="C59" s="15">
        <v>2025</v>
      </c>
      <c r="D59" s="10">
        <v>45786</v>
      </c>
      <c r="E59" t="s">
        <v>7</v>
      </c>
      <c r="F59">
        <v>1</v>
      </c>
      <c r="G59" t="s">
        <v>12</v>
      </c>
      <c r="H59" s="2">
        <v>700000</v>
      </c>
      <c r="I59" s="2">
        <v>68000</v>
      </c>
      <c r="J59" s="2">
        <v>20000</v>
      </c>
      <c r="K59" s="2">
        <f>H59-SUM(I59:J59)</f>
        <v>612000</v>
      </c>
    </row>
    <row r="60" spans="1:11" x14ac:dyDescent="0.25">
      <c r="A60" t="str" cm="1">
        <f t="array" ref="A60">_xlfn.XLOOKUP(1,(Contratos!$B$2:$B$2000=G60)*(D60&gt;=Contratos!$E$2:$E$2000)*(D60&lt;=Contratos!$F$2:$F$2000),Contratos!$A$2:$A$2000,"")</f>
        <v>0d8d157d-f9ab-4cd6-ac8a-7ed1a74a6746</v>
      </c>
      <c r="B60" s="2" t="s">
        <v>56</v>
      </c>
      <c r="C60" s="15">
        <v>2025</v>
      </c>
      <c r="D60" s="10">
        <v>45786</v>
      </c>
      <c r="E60" t="s">
        <v>7</v>
      </c>
      <c r="F60">
        <v>2</v>
      </c>
      <c r="G60" t="s">
        <v>13</v>
      </c>
      <c r="H60" s="2">
        <v>662700</v>
      </c>
      <c r="I60" s="2">
        <v>64270</v>
      </c>
      <c r="J60" s="2">
        <v>20000</v>
      </c>
      <c r="K60" s="2">
        <f t="shared" ref="K60:K72" si="4">H60-SUM(I60:J60)</f>
        <v>578430</v>
      </c>
    </row>
    <row r="61" spans="1:11" x14ac:dyDescent="0.25">
      <c r="A61" t="str" cm="1">
        <f t="array" ref="A61">_xlfn.XLOOKUP(1,(Contratos!$B$2:$B$2000=G61)*(D61&gt;=Contratos!$E$2:$E$2000)*(D61&lt;=Contratos!$F$2:$F$2000),Contratos!$A$2:$A$2000,"")</f>
        <v>8e4d74fa-ec72-4872-a04b-81c46e2fbd96</v>
      </c>
      <c r="B61" s="2" t="s">
        <v>56</v>
      </c>
      <c r="C61" s="15">
        <v>2025</v>
      </c>
      <c r="D61" s="10">
        <v>45786</v>
      </c>
      <c r="E61" t="s">
        <v>7</v>
      </c>
      <c r="F61">
        <v>3</v>
      </c>
      <c r="G61" t="s">
        <v>14</v>
      </c>
      <c r="H61" s="2">
        <v>600000</v>
      </c>
      <c r="I61" s="2">
        <v>60000</v>
      </c>
      <c r="J61" s="2">
        <v>0</v>
      </c>
      <c r="K61" s="2">
        <f t="shared" si="4"/>
        <v>540000</v>
      </c>
    </row>
    <row r="62" spans="1:11" x14ac:dyDescent="0.25">
      <c r="A62" t="str" cm="1">
        <f t="array" ref="A62">_xlfn.XLOOKUP(1,(Contratos!$B$2:$B$2000=G62)*(D62&gt;=Contratos!$E$2:$E$2000)*(D62&lt;=Contratos!$F$2:$F$2000),Contratos!$A$2:$A$2000,"")</f>
        <v/>
      </c>
      <c r="B62" s="2" t="s">
        <v>56</v>
      </c>
      <c r="C62" s="15">
        <v>2025</v>
      </c>
      <c r="D62" s="10">
        <v>45786</v>
      </c>
      <c r="E62" t="s">
        <v>8</v>
      </c>
      <c r="F62">
        <v>1</v>
      </c>
      <c r="G62" t="s">
        <v>15</v>
      </c>
      <c r="H62" s="2">
        <v>732100</v>
      </c>
      <c r="I62" s="2">
        <v>71210</v>
      </c>
      <c r="J62" s="2">
        <v>20000</v>
      </c>
      <c r="K62" s="2">
        <f t="shared" si="4"/>
        <v>640890</v>
      </c>
    </row>
    <row r="63" spans="1:11" x14ac:dyDescent="0.25">
      <c r="A63" t="str" cm="1">
        <f t="array" ref="A63">_xlfn.XLOOKUP(1,(Contratos!$B$2:$B$2000=G63)*(D63&gt;=Contratos!$E$2:$E$2000)*(D63&lt;=Contratos!$F$2:$F$2000),Contratos!$A$2:$A$2000,"")</f>
        <v/>
      </c>
      <c r="B63" s="2" t="s">
        <v>56</v>
      </c>
      <c r="C63" s="15">
        <v>2025</v>
      </c>
      <c r="D63" s="10">
        <v>45786</v>
      </c>
      <c r="E63" t="s">
        <v>8</v>
      </c>
      <c r="F63">
        <v>2</v>
      </c>
      <c r="G63" t="s">
        <v>16</v>
      </c>
      <c r="H63" s="2">
        <v>688000</v>
      </c>
      <c r="I63" s="2">
        <v>66800</v>
      </c>
      <c r="J63" s="2">
        <v>20000</v>
      </c>
      <c r="K63" s="2">
        <f t="shared" si="4"/>
        <v>601200</v>
      </c>
    </row>
    <row r="64" spans="1:11" x14ac:dyDescent="0.25">
      <c r="A64" t="str" cm="1">
        <f t="array" ref="A64">_xlfn.XLOOKUP(1,(Contratos!$B$2:$B$2000=G64)*(D64&gt;=Contratos!$E$2:$E$2000)*(D64&lt;=Contratos!$F$2:$F$2000),Contratos!$A$2:$A$2000,"")</f>
        <v/>
      </c>
      <c r="B64" s="2" t="s">
        <v>56</v>
      </c>
      <c r="C64" s="15">
        <v>2025</v>
      </c>
      <c r="D64" s="10">
        <v>45786</v>
      </c>
      <c r="E64" t="s">
        <v>8</v>
      </c>
      <c r="F64">
        <v>3</v>
      </c>
      <c r="G64" t="s">
        <v>17</v>
      </c>
      <c r="H64" s="2">
        <v>632200</v>
      </c>
      <c r="I64" s="2">
        <v>61220</v>
      </c>
      <c r="J64" s="2">
        <v>20000</v>
      </c>
      <c r="K64" s="2">
        <f t="shared" si="4"/>
        <v>550980</v>
      </c>
    </row>
    <row r="65" spans="1:11" x14ac:dyDescent="0.25">
      <c r="A65" t="str" cm="1">
        <f t="array" ref="A65">_xlfn.XLOOKUP(1,(Contratos!$B$2:$B$2000=G65)*(D65&gt;=Contratos!$E$2:$E$2000)*(D65&lt;=Contratos!$F$2:$F$2000),Contratos!$A$2:$A$2000,"")</f>
        <v/>
      </c>
      <c r="B65" s="2" t="s">
        <v>56</v>
      </c>
      <c r="C65" s="15">
        <v>2025</v>
      </c>
      <c r="D65" s="10">
        <v>45786</v>
      </c>
      <c r="E65" t="s">
        <v>9</v>
      </c>
      <c r="F65">
        <v>1</v>
      </c>
      <c r="G65" t="s">
        <v>18</v>
      </c>
      <c r="H65" s="2">
        <v>820000</v>
      </c>
      <c r="I65" s="2">
        <v>80000</v>
      </c>
      <c r="J65" s="2">
        <v>20000</v>
      </c>
      <c r="K65" s="2">
        <f t="shared" si="4"/>
        <v>720000</v>
      </c>
    </row>
    <row r="66" spans="1:11" x14ac:dyDescent="0.25">
      <c r="A66" t="str" cm="1">
        <f t="array" ref="A66">_xlfn.XLOOKUP(1,(Contratos!$B$2:$B$2000=G66)*(D66&gt;=Contratos!$E$2:$E$2000)*(D66&lt;=Contratos!$F$2:$F$2000),Contratos!$A$2:$A$2000,"")</f>
        <v>4c0d2b4b-0d3e-42de-af57-9305df4b2c02</v>
      </c>
      <c r="B66" s="2" t="s">
        <v>56</v>
      </c>
      <c r="C66" s="15">
        <v>2025</v>
      </c>
      <c r="D66" s="10">
        <v>45786</v>
      </c>
      <c r="E66" t="s">
        <v>9</v>
      </c>
      <c r="F66">
        <v>2</v>
      </c>
      <c r="G66" t="s">
        <v>19</v>
      </c>
      <c r="H66" s="2">
        <v>764000</v>
      </c>
      <c r="I66" s="2">
        <v>74400</v>
      </c>
      <c r="J66" s="2">
        <v>20000</v>
      </c>
      <c r="K66" s="2">
        <f t="shared" si="4"/>
        <v>669600</v>
      </c>
    </row>
    <row r="67" spans="1:11" x14ac:dyDescent="0.25">
      <c r="A67" t="str" cm="1">
        <f t="array" ref="A67">_xlfn.XLOOKUP(1,(Contratos!$B$2:$B$2000=G67)*(D67&gt;=Contratos!$E$2:$E$2000)*(D67&lt;=Contratos!$F$2:$F$2000),Contratos!$A$2:$A$2000,"")</f>
        <v/>
      </c>
      <c r="B67" s="2" t="s">
        <v>56</v>
      </c>
      <c r="C67" s="15">
        <v>2025</v>
      </c>
      <c r="D67" s="10">
        <v>45786</v>
      </c>
      <c r="E67" t="s">
        <v>9</v>
      </c>
      <c r="F67">
        <v>3</v>
      </c>
      <c r="G67" t="s">
        <v>20</v>
      </c>
      <c r="H67" s="2">
        <v>700000</v>
      </c>
      <c r="I67" s="2">
        <v>68000</v>
      </c>
      <c r="J67" s="2">
        <v>20000</v>
      </c>
      <c r="K67" s="2">
        <f t="shared" si="4"/>
        <v>612000</v>
      </c>
    </row>
    <row r="68" spans="1:11" x14ac:dyDescent="0.25">
      <c r="A68" t="str" cm="1">
        <f t="array" ref="A68">_xlfn.XLOOKUP(1,(Contratos!$B$2:$B$2000=G68)*(D68&gt;=Contratos!$E$2:$E$2000)*(D68&lt;=Contratos!$F$2:$F$2000),Contratos!$A$2:$A$2000,"")</f>
        <v/>
      </c>
      <c r="B68" s="2" t="s">
        <v>56</v>
      </c>
      <c r="C68" s="15">
        <v>2025</v>
      </c>
      <c r="D68" s="10">
        <v>45786</v>
      </c>
      <c r="E68" t="s">
        <v>9</v>
      </c>
      <c r="F68">
        <v>4</v>
      </c>
      <c r="G68" t="s">
        <v>21</v>
      </c>
      <c r="H68" s="2">
        <v>620000</v>
      </c>
      <c r="I68" s="2">
        <v>60000</v>
      </c>
      <c r="J68" s="2">
        <v>20000</v>
      </c>
      <c r="K68" s="2">
        <f t="shared" si="4"/>
        <v>540000</v>
      </c>
    </row>
    <row r="69" spans="1:11" x14ac:dyDescent="0.25">
      <c r="A69" t="str" cm="1">
        <f t="array" ref="A69">_xlfn.XLOOKUP(1,(Contratos!$B$2:$B$2000=G69)*(D69&gt;=Contratos!$E$2:$E$2000)*(D69&lt;=Contratos!$F$2:$F$2000),Contratos!$A$2:$A$2000,"")</f>
        <v>01fb67ad-1898-47db-a814-5a658a723a89</v>
      </c>
      <c r="B69" s="2" t="s">
        <v>56</v>
      </c>
      <c r="C69" s="15">
        <v>2025</v>
      </c>
      <c r="D69" s="10">
        <v>45786</v>
      </c>
      <c r="E69" t="s">
        <v>10</v>
      </c>
      <c r="F69">
        <v>1</v>
      </c>
      <c r="G69" t="s">
        <v>22</v>
      </c>
      <c r="H69" s="2">
        <v>660000</v>
      </c>
      <c r="I69" s="2">
        <v>64000</v>
      </c>
      <c r="J69" s="2">
        <v>20000</v>
      </c>
      <c r="K69" s="2">
        <f t="shared" si="4"/>
        <v>576000</v>
      </c>
    </row>
    <row r="70" spans="1:11" x14ac:dyDescent="0.25">
      <c r="A70" t="str" cm="1">
        <f t="array" ref="A70">_xlfn.XLOOKUP(1,(Contratos!$B$2:$B$2000=G70)*(D70&gt;=Contratos!$E$2:$E$2000)*(D70&lt;=Contratos!$F$2:$F$2000),Contratos!$A$2:$A$2000,"")</f>
        <v>10424221-9e53-4f28-aea8-3549e2e43b87</v>
      </c>
      <c r="B70" s="2" t="s">
        <v>56</v>
      </c>
      <c r="C70" s="15">
        <v>2025</v>
      </c>
      <c r="D70" s="10">
        <v>45786</v>
      </c>
      <c r="E70" t="s">
        <v>10</v>
      </c>
      <c r="F70">
        <v>2</v>
      </c>
      <c r="G70" t="s">
        <v>23</v>
      </c>
      <c r="H70" s="2">
        <v>670000</v>
      </c>
      <c r="I70" s="2">
        <v>65000</v>
      </c>
      <c r="J70" s="2">
        <v>20000</v>
      </c>
      <c r="K70" s="2">
        <f t="shared" si="4"/>
        <v>585000</v>
      </c>
    </row>
    <row r="71" spans="1:11" x14ac:dyDescent="0.25">
      <c r="A71" t="str" cm="1">
        <f t="array" ref="A71">_xlfn.XLOOKUP(1,(Contratos!$B$2:$B$2000=G71)*(D71&gt;=Contratos!$E$2:$E$2000)*(D71&lt;=Contratos!$F$2:$F$2000),Contratos!$A$2:$A$2000,"")</f>
        <v/>
      </c>
      <c r="B71" s="2" t="s">
        <v>56</v>
      </c>
      <c r="C71" s="15">
        <v>2025</v>
      </c>
      <c r="D71" s="10">
        <v>45786</v>
      </c>
      <c r="E71" t="s">
        <v>10</v>
      </c>
      <c r="F71">
        <v>3</v>
      </c>
      <c r="G71" t="s">
        <v>24</v>
      </c>
      <c r="H71" s="2">
        <v>650000</v>
      </c>
      <c r="I71" s="2">
        <v>63000</v>
      </c>
      <c r="J71" s="2">
        <v>20000</v>
      </c>
      <c r="K71" s="2">
        <f t="shared" si="4"/>
        <v>567000</v>
      </c>
    </row>
    <row r="72" spans="1:11" x14ac:dyDescent="0.25">
      <c r="A72" t="str" cm="1">
        <f t="array" ref="A72">_xlfn.XLOOKUP(1,(Contratos!$B$2:$B$2000=G72)*(D72&gt;=Contratos!$E$2:$E$2000)*(D72&lt;=Contratos!$F$2:$F$2000),Contratos!$A$2:$A$2000,"")</f>
        <v>8dc982a8-8e30-4eb7-905c-fb55c4175ca4</v>
      </c>
      <c r="B72" s="2" t="s">
        <v>56</v>
      </c>
      <c r="C72" s="15">
        <v>2025</v>
      </c>
      <c r="D72" s="10">
        <v>45786</v>
      </c>
      <c r="E72" t="s">
        <v>10</v>
      </c>
      <c r="F72">
        <v>4</v>
      </c>
      <c r="G72" t="s">
        <v>25</v>
      </c>
      <c r="H72" s="2">
        <v>600000</v>
      </c>
      <c r="I72" s="2">
        <v>58000</v>
      </c>
      <c r="J72" s="2">
        <v>20000</v>
      </c>
      <c r="K72" s="2">
        <f t="shared" si="4"/>
        <v>522000</v>
      </c>
    </row>
    <row r="73" spans="1:11" x14ac:dyDescent="0.25">
      <c r="A73" t="str" cm="1">
        <f t="array" ref="A73">_xlfn.XLOOKUP(1,(Contratos!$B$2:$B$2000=G73)*(D73&gt;=Contratos!$E$2:$E$2000)*(D73&lt;=Contratos!$F$2:$F$2000),Contratos!$A$2:$A$2000,"")</f>
        <v>0f257e4c-3331-4e0e-869e-42c5a332a2a1</v>
      </c>
      <c r="B73" s="2" t="s">
        <v>57</v>
      </c>
      <c r="C73" s="15">
        <v>2025</v>
      </c>
      <c r="D73" s="10">
        <v>45835</v>
      </c>
      <c r="E73" t="s">
        <v>7</v>
      </c>
      <c r="F73">
        <v>1</v>
      </c>
      <c r="G73" t="s">
        <v>12</v>
      </c>
      <c r="H73" s="2">
        <v>700000</v>
      </c>
      <c r="I73" s="2">
        <v>68000</v>
      </c>
      <c r="J73" s="2">
        <v>20000</v>
      </c>
      <c r="K73" s="2">
        <f>H73-SUM(I73:J73)</f>
        <v>612000</v>
      </c>
    </row>
    <row r="74" spans="1:11" x14ac:dyDescent="0.25">
      <c r="A74" t="str" cm="1">
        <f t="array" ref="A74">_xlfn.XLOOKUP(1,(Contratos!$B$2:$B$2000=G74)*(D74&gt;=Contratos!$E$2:$E$2000)*(D74&lt;=Contratos!$F$2:$F$2000),Contratos!$A$2:$A$2000,"")</f>
        <v>0d8d157d-f9ab-4cd6-ac8a-7ed1a74a6746</v>
      </c>
      <c r="B74" s="2" t="s">
        <v>57</v>
      </c>
      <c r="C74" s="15">
        <v>2025</v>
      </c>
      <c r="D74" s="10">
        <v>45835</v>
      </c>
      <c r="E74" t="s">
        <v>7</v>
      </c>
      <c r="F74">
        <v>2</v>
      </c>
      <c r="G74" t="s">
        <v>13</v>
      </c>
      <c r="H74" s="2">
        <v>662700</v>
      </c>
      <c r="I74" s="2">
        <v>64270</v>
      </c>
      <c r="J74" s="2">
        <v>20000</v>
      </c>
      <c r="K74" s="2">
        <f t="shared" ref="K74:K86" si="5">H74-SUM(I74:J74)</f>
        <v>578430</v>
      </c>
    </row>
    <row r="75" spans="1:11" x14ac:dyDescent="0.25">
      <c r="A75" t="str" cm="1">
        <f t="array" ref="A75">_xlfn.XLOOKUP(1,(Contratos!$B$2:$B$2000=G75)*(D75&gt;=Contratos!$E$2:$E$2000)*(D75&lt;=Contratos!$F$2:$F$2000),Contratos!$A$2:$A$2000,"")</f>
        <v>3222d3e6-2b5b-4103-bc55-29e39c33ca84</v>
      </c>
      <c r="B75" s="2" t="s">
        <v>57</v>
      </c>
      <c r="C75" s="15">
        <v>2025</v>
      </c>
      <c r="D75" s="10">
        <v>45835</v>
      </c>
      <c r="E75" t="s">
        <v>7</v>
      </c>
      <c r="F75">
        <v>3</v>
      </c>
      <c r="G75" t="s">
        <v>14</v>
      </c>
      <c r="H75" s="2">
        <v>631200</v>
      </c>
      <c r="I75" s="2">
        <v>63120</v>
      </c>
      <c r="J75" s="2">
        <v>0</v>
      </c>
      <c r="K75" s="2">
        <f t="shared" si="5"/>
        <v>568080</v>
      </c>
    </row>
    <row r="76" spans="1:11" x14ac:dyDescent="0.25">
      <c r="A76" t="str" cm="1">
        <f t="array" ref="A76">_xlfn.XLOOKUP(1,(Contratos!$B$2:$B$2000=G76)*(D76&gt;=Contratos!$E$2:$E$2000)*(D76&lt;=Contratos!$F$2:$F$2000),Contratos!$A$2:$A$2000,"")</f>
        <v/>
      </c>
      <c r="B76" s="2" t="s">
        <v>57</v>
      </c>
      <c r="C76" s="15">
        <v>2025</v>
      </c>
      <c r="D76" s="10">
        <v>45835</v>
      </c>
      <c r="E76" t="s">
        <v>8</v>
      </c>
      <c r="F76">
        <v>1</v>
      </c>
      <c r="G76" t="s">
        <v>15</v>
      </c>
      <c r="H76" s="2">
        <v>732100</v>
      </c>
      <c r="I76" s="2">
        <v>71210</v>
      </c>
      <c r="J76" s="2">
        <v>20000</v>
      </c>
      <c r="K76" s="2">
        <f t="shared" si="5"/>
        <v>640890</v>
      </c>
    </row>
    <row r="77" spans="1:11" x14ac:dyDescent="0.25">
      <c r="A77" t="str" cm="1">
        <f t="array" ref="A77">_xlfn.XLOOKUP(1,(Contratos!$B$2:$B$2000=G77)*(D77&gt;=Contratos!$E$2:$E$2000)*(D77&lt;=Contratos!$F$2:$F$2000),Contratos!$A$2:$A$2000,"")</f>
        <v/>
      </c>
      <c r="B77" s="2" t="s">
        <v>57</v>
      </c>
      <c r="C77" s="15">
        <v>2025</v>
      </c>
      <c r="D77" s="10">
        <v>45835</v>
      </c>
      <c r="E77" t="s">
        <v>8</v>
      </c>
      <c r="F77">
        <v>2</v>
      </c>
      <c r="G77" t="s">
        <v>16</v>
      </c>
      <c r="H77" s="2">
        <v>688000</v>
      </c>
      <c r="I77" s="2">
        <v>66800</v>
      </c>
      <c r="J77" s="2">
        <v>20000</v>
      </c>
      <c r="K77" s="2">
        <f t="shared" si="5"/>
        <v>601200</v>
      </c>
    </row>
    <row r="78" spans="1:11" x14ac:dyDescent="0.25">
      <c r="A78" t="str" cm="1">
        <f t="array" ref="A78">_xlfn.XLOOKUP(1,(Contratos!$B$2:$B$2000=G78)*(D78&gt;=Contratos!$E$2:$E$2000)*(D78&lt;=Contratos!$F$2:$F$2000),Contratos!$A$2:$A$2000,"")</f>
        <v/>
      </c>
      <c r="B78" s="2" t="s">
        <v>57</v>
      </c>
      <c r="C78" s="15">
        <v>2025</v>
      </c>
      <c r="D78" s="10">
        <v>45835</v>
      </c>
      <c r="E78" t="s">
        <v>8</v>
      </c>
      <c r="F78">
        <v>3</v>
      </c>
      <c r="G78" t="s">
        <v>17</v>
      </c>
      <c r="H78" s="2">
        <v>632200</v>
      </c>
      <c r="I78" s="2">
        <v>61220</v>
      </c>
      <c r="J78" s="2">
        <v>20000</v>
      </c>
      <c r="K78" s="2">
        <f t="shared" si="5"/>
        <v>550980</v>
      </c>
    </row>
    <row r="79" spans="1:11" x14ac:dyDescent="0.25">
      <c r="A79" t="str" cm="1">
        <f t="array" ref="A79">_xlfn.XLOOKUP(1,(Contratos!$B$2:$B$2000=G79)*(D79&gt;=Contratos!$E$2:$E$2000)*(D79&lt;=Contratos!$F$2:$F$2000),Contratos!$A$2:$A$2000,"")</f>
        <v/>
      </c>
      <c r="B79" s="2" t="s">
        <v>57</v>
      </c>
      <c r="C79" s="15">
        <v>2025</v>
      </c>
      <c r="D79" s="10">
        <v>45835</v>
      </c>
      <c r="E79" t="s">
        <v>9</v>
      </c>
      <c r="F79">
        <v>1</v>
      </c>
      <c r="G79" t="s">
        <v>18</v>
      </c>
      <c r="H79" s="2">
        <v>820000</v>
      </c>
      <c r="I79" s="2">
        <v>80000</v>
      </c>
      <c r="J79" s="2">
        <v>20000</v>
      </c>
      <c r="K79" s="2">
        <f t="shared" si="5"/>
        <v>720000</v>
      </c>
    </row>
    <row r="80" spans="1:11" x14ac:dyDescent="0.25">
      <c r="A80" t="str" cm="1">
        <f t="array" ref="A80">_xlfn.XLOOKUP(1,(Contratos!$B$2:$B$2000=G80)*(D80&gt;=Contratos!$E$2:$E$2000)*(D80&lt;=Contratos!$F$2:$F$2000),Contratos!$A$2:$A$2000,"")</f>
        <v>4c0d2b4b-0d3e-42de-af57-9305df4b2c02</v>
      </c>
      <c r="B80" s="2" t="s">
        <v>57</v>
      </c>
      <c r="C80" s="15">
        <v>2025</v>
      </c>
      <c r="D80" s="10">
        <v>45835</v>
      </c>
      <c r="E80" t="s">
        <v>9</v>
      </c>
      <c r="F80">
        <v>2</v>
      </c>
      <c r="G80" t="s">
        <v>19</v>
      </c>
      <c r="H80" s="2">
        <v>764000</v>
      </c>
      <c r="I80" s="2">
        <v>74400</v>
      </c>
      <c r="J80" s="2">
        <v>20000</v>
      </c>
      <c r="K80" s="2">
        <f t="shared" si="5"/>
        <v>669600</v>
      </c>
    </row>
    <row r="81" spans="1:11" x14ac:dyDescent="0.25">
      <c r="A81" t="str" cm="1">
        <f t="array" ref="A81">_xlfn.XLOOKUP(1,(Contratos!$B$2:$B$2000=G81)*(D81&gt;=Contratos!$E$2:$E$2000)*(D81&lt;=Contratos!$F$2:$F$2000),Contratos!$A$2:$A$2000,"")</f>
        <v/>
      </c>
      <c r="B81" s="2" t="s">
        <v>57</v>
      </c>
      <c r="C81" s="15">
        <v>2025</v>
      </c>
      <c r="D81" s="10">
        <v>45835</v>
      </c>
      <c r="E81" t="s">
        <v>9</v>
      </c>
      <c r="F81">
        <v>3</v>
      </c>
      <c r="G81" t="s">
        <v>20</v>
      </c>
      <c r="H81" s="2">
        <v>700000</v>
      </c>
      <c r="I81" s="2">
        <v>68000</v>
      </c>
      <c r="J81" s="2">
        <v>20000</v>
      </c>
      <c r="K81" s="2">
        <f t="shared" si="5"/>
        <v>612000</v>
      </c>
    </row>
    <row r="82" spans="1:11" x14ac:dyDescent="0.25">
      <c r="A82" t="str" cm="1">
        <f t="array" ref="A82">_xlfn.XLOOKUP(1,(Contratos!$B$2:$B$2000=G82)*(D82&gt;=Contratos!$E$2:$E$2000)*(D82&lt;=Contratos!$F$2:$F$2000),Contratos!$A$2:$A$2000,"")</f>
        <v/>
      </c>
      <c r="B82" s="2" t="s">
        <v>57</v>
      </c>
      <c r="C82" s="15">
        <v>2025</v>
      </c>
      <c r="D82" s="10">
        <v>45835</v>
      </c>
      <c r="E82" t="s">
        <v>9</v>
      </c>
      <c r="F82">
        <v>4</v>
      </c>
      <c r="G82" t="s">
        <v>21</v>
      </c>
      <c r="H82" s="2">
        <v>620000</v>
      </c>
      <c r="I82" s="2">
        <v>60000</v>
      </c>
      <c r="J82" s="2">
        <v>20000</v>
      </c>
      <c r="K82" s="2">
        <f t="shared" si="5"/>
        <v>540000</v>
      </c>
    </row>
    <row r="83" spans="1:11" x14ac:dyDescent="0.25">
      <c r="A83" t="str" cm="1">
        <f t="array" ref="A83">_xlfn.XLOOKUP(1,(Contratos!$B$2:$B$2000=G83)*(D83&gt;=Contratos!$E$2:$E$2000)*(D83&lt;=Contratos!$F$2:$F$2000),Contratos!$A$2:$A$2000,"")</f>
        <v>01fb67ad-1898-47db-a814-5a658a723a89</v>
      </c>
      <c r="B83" s="2" t="s">
        <v>57</v>
      </c>
      <c r="C83" s="15">
        <v>2025</v>
      </c>
      <c r="D83" s="10">
        <v>45835</v>
      </c>
      <c r="E83" t="s">
        <v>10</v>
      </c>
      <c r="F83">
        <v>1</v>
      </c>
      <c r="G83" t="s">
        <v>22</v>
      </c>
      <c r="H83" s="2">
        <v>673280</v>
      </c>
      <c r="I83" s="2">
        <v>65328</v>
      </c>
      <c r="J83" s="2">
        <v>20000</v>
      </c>
      <c r="K83" s="2">
        <f t="shared" si="5"/>
        <v>587952</v>
      </c>
    </row>
    <row r="84" spans="1:11" x14ac:dyDescent="0.25">
      <c r="A84" t="str" cm="1">
        <f t="array" ref="A84">_xlfn.XLOOKUP(1,(Contratos!$B$2:$B$2000=G84)*(D84&gt;=Contratos!$E$2:$E$2000)*(D84&lt;=Contratos!$F$2:$F$2000),Contratos!$A$2:$A$2000,"")</f>
        <v>10424221-9e53-4f28-aea8-3549e2e43b87</v>
      </c>
      <c r="B84" s="2" t="s">
        <v>57</v>
      </c>
      <c r="C84" s="15">
        <v>2025</v>
      </c>
      <c r="D84" s="10">
        <v>45835</v>
      </c>
      <c r="E84" t="s">
        <v>10</v>
      </c>
      <c r="F84">
        <v>2</v>
      </c>
      <c r="G84" t="s">
        <v>23</v>
      </c>
      <c r="H84" s="2">
        <v>670000</v>
      </c>
      <c r="I84" s="2">
        <v>65000</v>
      </c>
      <c r="J84" s="2">
        <v>20000</v>
      </c>
      <c r="K84" s="2">
        <f t="shared" si="5"/>
        <v>585000</v>
      </c>
    </row>
    <row r="85" spans="1:11" x14ac:dyDescent="0.25">
      <c r="A85" t="str" cm="1">
        <f t="array" ref="A85">_xlfn.XLOOKUP(1,(Contratos!$B$2:$B$2000=G85)*(D85&gt;=Contratos!$E$2:$E$2000)*(D85&lt;=Contratos!$F$2:$F$2000),Contratos!$A$2:$A$2000,"")</f>
        <v/>
      </c>
      <c r="B85" s="2" t="s">
        <v>57</v>
      </c>
      <c r="C85" s="15">
        <v>2025</v>
      </c>
      <c r="D85" s="10">
        <v>45835</v>
      </c>
      <c r="E85" t="s">
        <v>10</v>
      </c>
      <c r="F85">
        <v>3</v>
      </c>
      <c r="G85" t="s">
        <v>24</v>
      </c>
      <c r="H85" s="2">
        <v>650000</v>
      </c>
      <c r="I85" s="2">
        <v>63000</v>
      </c>
      <c r="J85" s="2">
        <v>20000</v>
      </c>
      <c r="K85" s="2">
        <f t="shared" si="5"/>
        <v>567000</v>
      </c>
    </row>
    <row r="86" spans="1:11" x14ac:dyDescent="0.25">
      <c r="A86" t="str" cm="1">
        <f t="array" ref="A86">_xlfn.XLOOKUP(1,(Contratos!$B$2:$B$2000=G86)*(D86&gt;=Contratos!$E$2:$E$2000)*(D86&lt;=Contratos!$F$2:$F$2000),Contratos!$A$2:$A$2000,"")</f>
        <v>8dc982a8-8e30-4eb7-905c-fb55c4175ca4</v>
      </c>
      <c r="B86" s="2" t="s">
        <v>57</v>
      </c>
      <c r="C86" s="15">
        <v>2025</v>
      </c>
      <c r="D86" s="10">
        <v>45835</v>
      </c>
      <c r="E86" t="s">
        <v>10</v>
      </c>
      <c r="F86">
        <v>4</v>
      </c>
      <c r="G86" t="s">
        <v>25</v>
      </c>
      <c r="H86" s="2">
        <v>600000</v>
      </c>
      <c r="I86" s="2">
        <v>58000</v>
      </c>
      <c r="J86" s="2">
        <v>20000</v>
      </c>
      <c r="K86" s="2">
        <f t="shared" si="5"/>
        <v>522000</v>
      </c>
    </row>
    <row r="87" spans="1:11" x14ac:dyDescent="0.25">
      <c r="A87" t="str" cm="1">
        <f t="array" ref="A87">_xlfn.XLOOKUP(1,(Contratos!$B$2:$B$2000=G87)*(D87&gt;=Contratos!$E$2:$E$2000)*(D87&lt;=Contratos!$F$2:$F$2000),Contratos!$A$2:$A$2000,"")</f>
        <v>0f257e4c-3331-4e0e-869e-42c5a332a2a1</v>
      </c>
      <c r="B87" s="2" t="s">
        <v>58</v>
      </c>
      <c r="C87" s="15">
        <v>2025</v>
      </c>
      <c r="D87" s="10">
        <v>45846</v>
      </c>
      <c r="E87" t="s">
        <v>7</v>
      </c>
      <c r="F87">
        <v>1</v>
      </c>
      <c r="G87" t="s">
        <v>12</v>
      </c>
      <c r="H87" s="2">
        <v>700000</v>
      </c>
      <c r="I87" s="2">
        <v>68000</v>
      </c>
      <c r="J87" s="2">
        <v>20000</v>
      </c>
      <c r="K87" s="2">
        <f>H87-SUM(I87:J87)</f>
        <v>612000</v>
      </c>
    </row>
    <row r="88" spans="1:11" x14ac:dyDescent="0.25">
      <c r="A88" t="str" cm="1">
        <f t="array" ref="A88">_xlfn.XLOOKUP(1,(Contratos!$B$2:$B$2000=G88)*(D88&gt;=Contratos!$E$2:$E$2000)*(D88&lt;=Contratos!$F$2:$F$2000),Contratos!$A$2:$A$2000,"")</f>
        <v>0d8d157d-f9ab-4cd6-ac8a-7ed1a74a6746</v>
      </c>
      <c r="B88" s="2" t="s">
        <v>58</v>
      </c>
      <c r="C88" s="15">
        <v>2025</v>
      </c>
      <c r="D88" s="10">
        <v>45846</v>
      </c>
      <c r="E88" t="s">
        <v>7</v>
      </c>
      <c r="F88">
        <v>2</v>
      </c>
      <c r="G88" t="s">
        <v>13</v>
      </c>
      <c r="H88" s="2">
        <v>662700</v>
      </c>
      <c r="I88" s="2">
        <v>64270</v>
      </c>
      <c r="J88" s="2">
        <v>20000</v>
      </c>
      <c r="K88" s="2">
        <f t="shared" ref="K88:K100" si="6">H88-SUM(I88:J88)</f>
        <v>578430</v>
      </c>
    </row>
    <row r="89" spans="1:11" x14ac:dyDescent="0.25">
      <c r="A89" t="str" cm="1">
        <f t="array" ref="A89">_xlfn.XLOOKUP(1,(Contratos!$B$2:$B$2000=G89)*(D89&gt;=Contratos!$E$2:$E$2000)*(D89&lt;=Contratos!$F$2:$F$2000),Contratos!$A$2:$A$2000,"")</f>
        <v>3222d3e6-2b5b-4103-bc55-29e39c33ca84</v>
      </c>
      <c r="B89" s="2" t="s">
        <v>58</v>
      </c>
      <c r="C89" s="15">
        <v>2025</v>
      </c>
      <c r="D89" s="10">
        <v>45846</v>
      </c>
      <c r="E89" t="s">
        <v>7</v>
      </c>
      <c r="F89">
        <v>3</v>
      </c>
      <c r="G89" t="s">
        <v>14</v>
      </c>
      <c r="H89" s="2">
        <v>631200</v>
      </c>
      <c r="I89" s="2">
        <v>63120</v>
      </c>
      <c r="J89" s="2">
        <v>0</v>
      </c>
      <c r="K89" s="2">
        <f t="shared" si="6"/>
        <v>568080</v>
      </c>
    </row>
    <row r="90" spans="1:11" x14ac:dyDescent="0.25">
      <c r="A90" t="str" cm="1">
        <f t="array" ref="A90">_xlfn.XLOOKUP(1,(Contratos!$B$2:$B$2000=G90)*(D90&gt;=Contratos!$E$2:$E$2000)*(D90&lt;=Contratos!$F$2:$F$2000),Contratos!$A$2:$A$2000,"")</f>
        <v/>
      </c>
      <c r="B90" s="2" t="s">
        <v>58</v>
      </c>
      <c r="C90" s="15">
        <v>2025</v>
      </c>
      <c r="D90" s="10">
        <v>45846</v>
      </c>
      <c r="E90" t="s">
        <v>8</v>
      </c>
      <c r="F90">
        <v>1</v>
      </c>
      <c r="H90" s="2">
        <v>0</v>
      </c>
      <c r="I90" s="2">
        <v>0</v>
      </c>
      <c r="J90" s="2">
        <v>0</v>
      </c>
      <c r="K90" s="2">
        <f t="shared" si="6"/>
        <v>0</v>
      </c>
    </row>
    <row r="91" spans="1:11" x14ac:dyDescent="0.25">
      <c r="A91" t="str" cm="1">
        <f t="array" ref="A91">_xlfn.XLOOKUP(1,(Contratos!$B$2:$B$2000=G91)*(D91&gt;=Contratos!$E$2:$E$2000)*(D91&lt;=Contratos!$F$2:$F$2000),Contratos!$A$2:$A$2000,"")</f>
        <v/>
      </c>
      <c r="B91" s="2" t="s">
        <v>58</v>
      </c>
      <c r="C91" s="15">
        <v>2025</v>
      </c>
      <c r="D91" s="10">
        <v>45846</v>
      </c>
      <c r="E91" t="s">
        <v>8</v>
      </c>
      <c r="F91">
        <v>2</v>
      </c>
      <c r="G91" t="s">
        <v>16</v>
      </c>
      <c r="H91" s="2">
        <v>688000</v>
      </c>
      <c r="I91" s="2">
        <v>66800</v>
      </c>
      <c r="J91" s="2">
        <v>20000</v>
      </c>
      <c r="K91" s="2">
        <f t="shared" si="6"/>
        <v>601200</v>
      </c>
    </row>
    <row r="92" spans="1:11" x14ac:dyDescent="0.25">
      <c r="A92" t="str" cm="1">
        <f t="array" ref="A92">_xlfn.XLOOKUP(1,(Contratos!$B$2:$B$2000=G92)*(D92&gt;=Contratos!$E$2:$E$2000)*(D92&lt;=Contratos!$F$2:$F$2000),Contratos!$A$2:$A$2000,"")</f>
        <v/>
      </c>
      <c r="B92" s="2" t="s">
        <v>58</v>
      </c>
      <c r="C92" s="15">
        <v>2025</v>
      </c>
      <c r="D92" s="10">
        <v>45846</v>
      </c>
      <c r="E92" t="s">
        <v>8</v>
      </c>
      <c r="F92">
        <v>3</v>
      </c>
      <c r="G92" t="s">
        <v>17</v>
      </c>
      <c r="H92" s="2">
        <v>632200</v>
      </c>
      <c r="I92" s="2">
        <v>61220</v>
      </c>
      <c r="J92" s="2">
        <v>20000</v>
      </c>
      <c r="K92" s="2">
        <f t="shared" si="6"/>
        <v>550980</v>
      </c>
    </row>
    <row r="93" spans="1:11" x14ac:dyDescent="0.25">
      <c r="A93" t="str" cm="1">
        <f t="array" ref="A93">_xlfn.XLOOKUP(1,(Contratos!$B$2:$B$2000=G93)*(D93&gt;=Contratos!$E$2:$E$2000)*(D93&lt;=Contratos!$F$2:$F$2000),Contratos!$A$2:$A$2000,"")</f>
        <v/>
      </c>
      <c r="B93" s="2" t="s">
        <v>58</v>
      </c>
      <c r="C93" s="15">
        <v>2025</v>
      </c>
      <c r="D93" s="10">
        <v>45846</v>
      </c>
      <c r="E93" t="s">
        <v>9</v>
      </c>
      <c r="F93">
        <v>1</v>
      </c>
      <c r="G93" t="s">
        <v>18</v>
      </c>
      <c r="H93" s="2">
        <v>820000</v>
      </c>
      <c r="I93" s="2">
        <v>80000</v>
      </c>
      <c r="J93" s="2">
        <v>20000</v>
      </c>
      <c r="K93" s="2">
        <f t="shared" si="6"/>
        <v>720000</v>
      </c>
    </row>
    <row r="94" spans="1:11" x14ac:dyDescent="0.25">
      <c r="A94" t="str" cm="1">
        <f t="array" ref="A94">_xlfn.XLOOKUP(1,(Contratos!$B$2:$B$2000=G94)*(D94&gt;=Contratos!$E$2:$E$2000)*(D94&lt;=Contratos!$F$2:$F$2000),Contratos!$A$2:$A$2000,"")</f>
        <v>4c0d2b4b-0d3e-42de-af57-9305df4b2c02</v>
      </c>
      <c r="B94" s="2" t="s">
        <v>58</v>
      </c>
      <c r="C94" s="15">
        <v>2025</v>
      </c>
      <c r="D94" s="10">
        <v>45846</v>
      </c>
      <c r="E94" t="s">
        <v>9</v>
      </c>
      <c r="F94">
        <v>2</v>
      </c>
      <c r="G94" t="s">
        <v>19</v>
      </c>
      <c r="H94" s="2">
        <v>764000</v>
      </c>
      <c r="I94" s="2">
        <v>74400</v>
      </c>
      <c r="J94" s="2">
        <v>20000</v>
      </c>
      <c r="K94" s="2">
        <f t="shared" si="6"/>
        <v>669600</v>
      </c>
    </row>
    <row r="95" spans="1:11" x14ac:dyDescent="0.25">
      <c r="A95" t="str" cm="1">
        <f t="array" ref="A95">_xlfn.XLOOKUP(1,(Contratos!$B$2:$B$2000=G95)*(D95&gt;=Contratos!$E$2:$E$2000)*(D95&lt;=Contratos!$F$2:$F$2000),Contratos!$A$2:$A$2000,"")</f>
        <v/>
      </c>
      <c r="B95" s="2" t="s">
        <v>58</v>
      </c>
      <c r="C95" s="15">
        <v>2025</v>
      </c>
      <c r="D95" s="10">
        <v>45846</v>
      </c>
      <c r="E95" t="s">
        <v>9</v>
      </c>
      <c r="F95">
        <v>3</v>
      </c>
      <c r="G95" t="s">
        <v>20</v>
      </c>
      <c r="H95" s="2">
        <v>700000</v>
      </c>
      <c r="I95" s="2">
        <v>68000</v>
      </c>
      <c r="J95" s="2">
        <v>20000</v>
      </c>
      <c r="K95" s="2">
        <f t="shared" si="6"/>
        <v>612000</v>
      </c>
    </row>
    <row r="96" spans="1:11" x14ac:dyDescent="0.25">
      <c r="A96" t="str" cm="1">
        <f t="array" ref="A96">_xlfn.XLOOKUP(1,(Contratos!$B$2:$B$2000=G96)*(D96&gt;=Contratos!$E$2:$E$2000)*(D96&lt;=Contratos!$F$2:$F$2000),Contratos!$A$2:$A$2000,"")</f>
        <v/>
      </c>
      <c r="B96" s="2" t="s">
        <v>58</v>
      </c>
      <c r="C96" s="15">
        <v>2025</v>
      </c>
      <c r="D96" s="10">
        <v>45846</v>
      </c>
      <c r="E96" t="s">
        <v>9</v>
      </c>
      <c r="F96">
        <v>4</v>
      </c>
      <c r="H96" s="2">
        <v>0</v>
      </c>
      <c r="I96" s="2">
        <v>0</v>
      </c>
      <c r="J96" s="2">
        <v>0</v>
      </c>
      <c r="K96" s="2">
        <f t="shared" si="6"/>
        <v>0</v>
      </c>
    </row>
    <row r="97" spans="1:11" x14ac:dyDescent="0.25">
      <c r="A97" t="str" cm="1">
        <f t="array" ref="A97">_xlfn.XLOOKUP(1,(Contratos!$B$2:$B$2000=G97)*(D97&gt;=Contratos!$E$2:$E$2000)*(D97&lt;=Contratos!$F$2:$F$2000),Contratos!$A$2:$A$2000,"")</f>
        <v>01fb67ad-1898-47db-a814-5a658a723a89</v>
      </c>
      <c r="B97" s="2" t="s">
        <v>58</v>
      </c>
      <c r="C97" s="15">
        <v>2025</v>
      </c>
      <c r="D97" s="10">
        <v>45846</v>
      </c>
      <c r="E97" t="s">
        <v>10</v>
      </c>
      <c r="F97">
        <v>1</v>
      </c>
      <c r="G97" t="s">
        <v>22</v>
      </c>
      <c r="H97" s="2">
        <v>673280</v>
      </c>
      <c r="I97" s="2">
        <v>65328</v>
      </c>
      <c r="J97" s="2">
        <v>20000</v>
      </c>
      <c r="K97" s="2">
        <f t="shared" si="6"/>
        <v>587952</v>
      </c>
    </row>
    <row r="98" spans="1:11" x14ac:dyDescent="0.25">
      <c r="A98" t="str" cm="1">
        <f t="array" ref="A98">_xlfn.XLOOKUP(1,(Contratos!$B$2:$B$2000=G98)*(D98&gt;=Contratos!$E$2:$E$2000)*(D98&lt;=Contratos!$F$2:$F$2000),Contratos!$A$2:$A$2000,"")</f>
        <v>10424221-9e53-4f28-aea8-3549e2e43b87</v>
      </c>
      <c r="B98" s="2" t="s">
        <v>58</v>
      </c>
      <c r="C98" s="15">
        <v>2025</v>
      </c>
      <c r="D98" s="10">
        <v>45846</v>
      </c>
      <c r="E98" t="s">
        <v>10</v>
      </c>
      <c r="F98">
        <v>2</v>
      </c>
      <c r="G98" t="s">
        <v>23</v>
      </c>
      <c r="H98" s="2">
        <v>670000</v>
      </c>
      <c r="I98" s="2">
        <v>65000</v>
      </c>
      <c r="J98" s="2">
        <v>20000</v>
      </c>
      <c r="K98" s="2">
        <f t="shared" si="6"/>
        <v>585000</v>
      </c>
    </row>
    <row r="99" spans="1:11" x14ac:dyDescent="0.25">
      <c r="A99" t="str" cm="1">
        <f t="array" ref="A99">_xlfn.XLOOKUP(1,(Contratos!$B$2:$B$2000=G99)*(D99&gt;=Contratos!$E$2:$E$2000)*(D99&lt;=Contratos!$F$2:$F$2000),Contratos!$A$2:$A$2000,"")</f>
        <v/>
      </c>
      <c r="B99" s="2" t="s">
        <v>58</v>
      </c>
      <c r="C99" s="15">
        <v>2025</v>
      </c>
      <c r="D99" s="10">
        <v>45846</v>
      </c>
      <c r="E99" t="s">
        <v>10</v>
      </c>
      <c r="F99">
        <v>3</v>
      </c>
      <c r="G99" t="s">
        <v>24</v>
      </c>
      <c r="H99" s="2">
        <v>650000</v>
      </c>
      <c r="I99" s="2">
        <v>63000</v>
      </c>
      <c r="J99" s="2">
        <v>20000</v>
      </c>
      <c r="K99" s="2">
        <f t="shared" si="6"/>
        <v>567000</v>
      </c>
    </row>
    <row r="100" spans="1:11" x14ac:dyDescent="0.25">
      <c r="A100" t="str" cm="1">
        <f t="array" ref="A100">_xlfn.XLOOKUP(1,(Contratos!$B$2:$B$2000=G100)*(D100&gt;=Contratos!$E$2:$E$2000)*(D100&lt;=Contratos!$F$2:$F$2000),Contratos!$A$2:$A$2000,"")</f>
        <v>8dc982a8-8e30-4eb7-905c-fb55c4175ca4</v>
      </c>
      <c r="B100" s="2" t="s">
        <v>58</v>
      </c>
      <c r="C100" s="15">
        <v>2025</v>
      </c>
      <c r="D100" s="10">
        <v>45846</v>
      </c>
      <c r="E100" t="s">
        <v>10</v>
      </c>
      <c r="F100">
        <v>4</v>
      </c>
      <c r="G100" t="s">
        <v>25</v>
      </c>
      <c r="H100" s="2">
        <v>600000</v>
      </c>
      <c r="I100" s="2">
        <v>58000</v>
      </c>
      <c r="J100" s="2">
        <v>20000</v>
      </c>
      <c r="K100" s="2">
        <f t="shared" si="6"/>
        <v>522000</v>
      </c>
    </row>
    <row r="101" spans="1:11" x14ac:dyDescent="0.25">
      <c r="A101" t="str" cm="1">
        <f t="array" ref="A101">_xlfn.XLOOKUP(1,(Contratos!$B$2:$B$2000=G101)*(D101&gt;=Contratos!$E$2:$E$2000)*(D101&lt;=Contratos!$F$2:$F$2000),Contratos!$A$2:$A$2000,"")</f>
        <v>0f257e4c-3331-4e0e-869e-42c5a332a2a1</v>
      </c>
      <c r="B101" s="2" t="s">
        <v>59</v>
      </c>
      <c r="C101" s="15">
        <v>2025</v>
      </c>
      <c r="D101" s="10">
        <v>45877</v>
      </c>
      <c r="E101" t="s">
        <v>7</v>
      </c>
      <c r="F101">
        <v>1</v>
      </c>
      <c r="G101" t="s">
        <v>12</v>
      </c>
      <c r="H101" s="2">
        <v>700000</v>
      </c>
      <c r="I101" s="2">
        <v>68000</v>
      </c>
      <c r="J101" s="2">
        <v>20000</v>
      </c>
      <c r="K101" s="2">
        <f>H101-SUM(I101:J101)</f>
        <v>612000</v>
      </c>
    </row>
    <row r="102" spans="1:11" x14ac:dyDescent="0.25">
      <c r="A102" t="str" cm="1">
        <f t="array" ref="A102">_xlfn.XLOOKUP(1,(Contratos!$B$2:$B$2000=G102)*(D102&gt;=Contratos!$E$2:$E$2000)*(D102&lt;=Contratos!$F$2:$F$2000),Contratos!$A$2:$A$2000,"")</f>
        <v>0d8d157d-f9ab-4cd6-ac8a-7ed1a74a6746</v>
      </c>
      <c r="B102" s="2" t="s">
        <v>59</v>
      </c>
      <c r="C102" s="15">
        <v>2025</v>
      </c>
      <c r="D102" s="10">
        <v>45877</v>
      </c>
      <c r="E102" t="s">
        <v>7</v>
      </c>
      <c r="F102">
        <v>2</v>
      </c>
      <c r="G102" t="s">
        <v>13</v>
      </c>
      <c r="H102" s="2">
        <v>662700</v>
      </c>
      <c r="I102" s="2">
        <v>64270</v>
      </c>
      <c r="J102" s="2">
        <v>20000</v>
      </c>
      <c r="K102" s="2">
        <f t="shared" ref="K102:K114" si="7">H102-SUM(I102:J102)</f>
        <v>578430</v>
      </c>
    </row>
    <row r="103" spans="1:11" x14ac:dyDescent="0.25">
      <c r="A103" t="str" cm="1">
        <f t="array" ref="A103">_xlfn.XLOOKUP(1,(Contratos!$B$2:$B$2000=G103)*(D103&gt;=Contratos!$E$2:$E$2000)*(D103&lt;=Contratos!$F$2:$F$2000),Contratos!$A$2:$A$2000,"")</f>
        <v>3222d3e6-2b5b-4103-bc55-29e39c33ca84</v>
      </c>
      <c r="B103" s="2" t="s">
        <v>59</v>
      </c>
      <c r="C103" s="15">
        <v>2025</v>
      </c>
      <c r="D103" s="10">
        <v>45877</v>
      </c>
      <c r="E103" t="s">
        <v>7</v>
      </c>
      <c r="F103">
        <v>3</v>
      </c>
      <c r="G103" t="s">
        <v>14</v>
      </c>
      <c r="H103" s="2">
        <v>631200</v>
      </c>
      <c r="I103" s="2">
        <v>63120</v>
      </c>
      <c r="J103" s="2">
        <v>0</v>
      </c>
      <c r="K103" s="2">
        <f t="shared" si="7"/>
        <v>568080</v>
      </c>
    </row>
    <row r="104" spans="1:11" x14ac:dyDescent="0.25">
      <c r="A104" t="str" cm="1">
        <f t="array" ref="A104">_xlfn.XLOOKUP(1,(Contratos!$B$2:$B$2000=G104)*(D104&gt;=Contratos!$E$2:$E$2000)*(D104&lt;=Contratos!$F$2:$F$2000),Contratos!$A$2:$A$2000,"")</f>
        <v>1f5eb474-0cc5-4f59-bde6-8b6fb39d4b29</v>
      </c>
      <c r="B104" s="2" t="s">
        <v>59</v>
      </c>
      <c r="C104" s="15">
        <v>2025</v>
      </c>
      <c r="D104" s="10">
        <v>45877</v>
      </c>
      <c r="E104" t="s">
        <v>8</v>
      </c>
      <c r="F104">
        <v>1</v>
      </c>
      <c r="G104" t="s">
        <v>31</v>
      </c>
      <c r="H104" s="2">
        <v>800000</v>
      </c>
      <c r="I104" s="2">
        <v>78000</v>
      </c>
      <c r="J104" s="2">
        <v>20000</v>
      </c>
      <c r="K104" s="2">
        <f t="shared" si="7"/>
        <v>702000</v>
      </c>
    </row>
    <row r="105" spans="1:11" x14ac:dyDescent="0.25">
      <c r="A105" t="str" cm="1">
        <f t="array" ref="A105">_xlfn.XLOOKUP(1,(Contratos!$B$2:$B$2000=G105)*(D105&gt;=Contratos!$E$2:$E$2000)*(D105&lt;=Contratos!$F$2:$F$2000),Contratos!$A$2:$A$2000,"")</f>
        <v/>
      </c>
      <c r="B105" s="2" t="s">
        <v>59</v>
      </c>
      <c r="C105" s="15">
        <v>2025</v>
      </c>
      <c r="D105" s="10">
        <v>45877</v>
      </c>
      <c r="E105" t="s">
        <v>8</v>
      </c>
      <c r="F105">
        <v>2</v>
      </c>
      <c r="G105" t="s">
        <v>16</v>
      </c>
      <c r="H105" s="2">
        <v>688000</v>
      </c>
      <c r="I105" s="2">
        <v>66800</v>
      </c>
      <c r="J105" s="2">
        <v>20000</v>
      </c>
      <c r="K105" s="2">
        <f t="shared" si="7"/>
        <v>601200</v>
      </c>
    </row>
    <row r="106" spans="1:11" x14ac:dyDescent="0.25">
      <c r="A106" t="str" cm="1">
        <f t="array" ref="A106">_xlfn.XLOOKUP(1,(Contratos!$B$2:$B$2000=G106)*(D106&gt;=Contratos!$E$2:$E$2000)*(D106&lt;=Contratos!$F$2:$F$2000),Contratos!$A$2:$A$2000,"")</f>
        <v/>
      </c>
      <c r="B106" s="2" t="s">
        <v>59</v>
      </c>
      <c r="C106" s="15">
        <v>2025</v>
      </c>
      <c r="D106" s="10">
        <v>45877</v>
      </c>
      <c r="E106" t="s">
        <v>8</v>
      </c>
      <c r="F106">
        <v>3</v>
      </c>
      <c r="G106" t="s">
        <v>17</v>
      </c>
      <c r="H106" s="2">
        <v>632200</v>
      </c>
      <c r="I106" s="2">
        <v>61220</v>
      </c>
      <c r="J106" s="2">
        <v>20000</v>
      </c>
      <c r="K106" s="2">
        <f t="shared" si="7"/>
        <v>550980</v>
      </c>
    </row>
    <row r="107" spans="1:11" x14ac:dyDescent="0.25">
      <c r="A107" t="str" cm="1">
        <f t="array" ref="A107">_xlfn.XLOOKUP(1,(Contratos!$B$2:$B$2000=G107)*(D107&gt;=Contratos!$E$2:$E$2000)*(D107&lt;=Contratos!$F$2:$F$2000),Contratos!$A$2:$A$2000,"")</f>
        <v/>
      </c>
      <c r="B107" s="2" t="s">
        <v>59</v>
      </c>
      <c r="C107" s="15">
        <v>2025</v>
      </c>
      <c r="D107" s="10">
        <v>45877</v>
      </c>
      <c r="E107" t="s">
        <v>9</v>
      </c>
      <c r="F107">
        <v>1</v>
      </c>
      <c r="G107" t="s">
        <v>18</v>
      </c>
      <c r="H107" s="2">
        <v>820000</v>
      </c>
      <c r="I107" s="2">
        <v>80000</v>
      </c>
      <c r="J107" s="2">
        <v>20000</v>
      </c>
      <c r="K107" s="2">
        <f t="shared" si="7"/>
        <v>720000</v>
      </c>
    </row>
    <row r="108" spans="1:11" x14ac:dyDescent="0.25">
      <c r="A108" t="str" cm="1">
        <f t="array" ref="A108">_xlfn.XLOOKUP(1,(Contratos!$B$2:$B$2000=G108)*(D108&gt;=Contratos!$E$2:$E$2000)*(D108&lt;=Contratos!$F$2:$F$2000),Contratos!$A$2:$A$2000,"")</f>
        <v>359216a7-8ba9-4e24-8cac-7dc225c9d6e1</v>
      </c>
      <c r="B108" s="2" t="s">
        <v>59</v>
      </c>
      <c r="C108" s="15">
        <v>2025</v>
      </c>
      <c r="D108" s="10">
        <v>45877</v>
      </c>
      <c r="E108" t="s">
        <v>9</v>
      </c>
      <c r="F108">
        <v>2</v>
      </c>
      <c r="G108" t="s">
        <v>19</v>
      </c>
      <c r="H108" s="2">
        <v>764000</v>
      </c>
      <c r="I108" s="2">
        <v>74400</v>
      </c>
      <c r="J108" s="2">
        <v>20000</v>
      </c>
      <c r="K108" s="2">
        <f t="shared" si="7"/>
        <v>669600</v>
      </c>
    </row>
    <row r="109" spans="1:11" x14ac:dyDescent="0.25">
      <c r="A109" t="str" cm="1">
        <f t="array" ref="A109">_xlfn.XLOOKUP(1,(Contratos!$B$2:$B$2000=G109)*(D109&gt;=Contratos!$E$2:$E$2000)*(D109&lt;=Contratos!$F$2:$F$2000),Contratos!$A$2:$A$2000,"")</f>
        <v/>
      </c>
      <c r="B109" s="2" t="s">
        <v>59</v>
      </c>
      <c r="C109" s="15">
        <v>2025</v>
      </c>
      <c r="D109" s="10">
        <v>45877</v>
      </c>
      <c r="E109" t="s">
        <v>9</v>
      </c>
      <c r="F109">
        <v>3</v>
      </c>
      <c r="G109" t="s">
        <v>20</v>
      </c>
      <c r="H109" s="2">
        <v>700000</v>
      </c>
      <c r="I109" s="2">
        <v>68000</v>
      </c>
      <c r="J109" s="2">
        <v>20000</v>
      </c>
      <c r="K109" s="2">
        <f t="shared" si="7"/>
        <v>612000</v>
      </c>
    </row>
    <row r="110" spans="1:11" x14ac:dyDescent="0.25">
      <c r="A110" t="str" cm="1">
        <f t="array" ref="A110">_xlfn.XLOOKUP(1,(Contratos!$B$2:$B$2000=G110)*(D110&gt;=Contratos!$E$2:$E$2000)*(D110&lt;=Contratos!$F$2:$F$2000),Contratos!$A$2:$A$2000,"")</f>
        <v/>
      </c>
      <c r="B110" s="2" t="s">
        <v>59</v>
      </c>
      <c r="C110" s="15">
        <v>2025</v>
      </c>
      <c r="D110" s="10">
        <v>45877</v>
      </c>
      <c r="E110" t="s">
        <v>9</v>
      </c>
      <c r="F110">
        <v>4</v>
      </c>
      <c r="H110" s="2">
        <v>0</v>
      </c>
      <c r="I110" s="2">
        <v>0</v>
      </c>
      <c r="J110" s="2">
        <v>0</v>
      </c>
      <c r="K110" s="2">
        <f t="shared" si="7"/>
        <v>0</v>
      </c>
    </row>
    <row r="111" spans="1:11" x14ac:dyDescent="0.25">
      <c r="A111" t="str" cm="1">
        <f t="array" ref="A111">_xlfn.XLOOKUP(1,(Contratos!$B$2:$B$2000=G111)*(D111&gt;=Contratos!$E$2:$E$2000)*(D111&lt;=Contratos!$F$2:$F$2000),Contratos!$A$2:$A$2000,"")</f>
        <v>01fb67ad-1898-47db-a814-5a658a723a89</v>
      </c>
      <c r="B111" s="2" t="s">
        <v>59</v>
      </c>
      <c r="C111" s="15">
        <v>2025</v>
      </c>
      <c r="D111" s="10">
        <v>45877</v>
      </c>
      <c r="E111" t="s">
        <v>10</v>
      </c>
      <c r="F111">
        <v>1</v>
      </c>
      <c r="G111" t="s">
        <v>22</v>
      </c>
      <c r="H111" s="2">
        <v>673280</v>
      </c>
      <c r="I111" s="2">
        <v>65328</v>
      </c>
      <c r="J111" s="2">
        <v>20000</v>
      </c>
      <c r="K111" s="2">
        <f t="shared" si="7"/>
        <v>587952</v>
      </c>
    </row>
    <row r="112" spans="1:11" x14ac:dyDescent="0.25">
      <c r="A112" t="str" cm="1">
        <f t="array" ref="A112">_xlfn.XLOOKUP(1,(Contratos!$B$2:$B$2000=G112)*(D112&gt;=Contratos!$E$2:$E$2000)*(D112&lt;=Contratos!$F$2:$F$2000),Contratos!$A$2:$A$2000,"")</f>
        <v>10959edc-7e2c-4e4e-b5ee-d6bdac93ae9e</v>
      </c>
      <c r="B112" s="2" t="s">
        <v>59</v>
      </c>
      <c r="C112" s="15">
        <v>2025</v>
      </c>
      <c r="D112" s="10">
        <v>45877</v>
      </c>
      <c r="E112" t="s">
        <v>10</v>
      </c>
      <c r="F112">
        <v>2</v>
      </c>
      <c r="G112" t="s">
        <v>23</v>
      </c>
      <c r="H112" s="2">
        <v>670000</v>
      </c>
      <c r="I112" s="2">
        <v>65000</v>
      </c>
      <c r="J112" s="2">
        <v>20000</v>
      </c>
      <c r="K112" s="2">
        <f t="shared" si="7"/>
        <v>585000</v>
      </c>
    </row>
    <row r="113" spans="1:11" x14ac:dyDescent="0.25">
      <c r="A113" t="str" cm="1">
        <f t="array" ref="A113">_xlfn.XLOOKUP(1,(Contratos!$B$2:$B$2000=G113)*(D113&gt;=Contratos!$E$2:$E$2000)*(D113&lt;=Contratos!$F$2:$F$2000),Contratos!$A$2:$A$2000,"")</f>
        <v/>
      </c>
      <c r="B113" s="2" t="s">
        <v>59</v>
      </c>
      <c r="C113" s="15">
        <v>2025</v>
      </c>
      <c r="D113" s="10">
        <v>45877</v>
      </c>
      <c r="E113" t="s">
        <v>10</v>
      </c>
      <c r="F113">
        <v>3</v>
      </c>
      <c r="G113" t="s">
        <v>24</v>
      </c>
      <c r="H113" s="2">
        <v>650000</v>
      </c>
      <c r="I113" s="2">
        <v>63000</v>
      </c>
      <c r="J113" s="2">
        <v>20000</v>
      </c>
      <c r="K113" s="2">
        <f t="shared" si="7"/>
        <v>567000</v>
      </c>
    </row>
    <row r="114" spans="1:11" x14ac:dyDescent="0.25">
      <c r="A114" t="str" cm="1">
        <f t="array" ref="A114">_xlfn.XLOOKUP(1,(Contratos!$B$2:$B$2000=G114)*(D114&gt;=Contratos!$E$2:$E$2000)*(D114&lt;=Contratos!$F$2:$F$2000),Contratos!$A$2:$A$2000,"")</f>
        <v>8dc982a8-8e30-4eb7-905c-fb55c4175ca4</v>
      </c>
      <c r="B114" s="2" t="s">
        <v>59</v>
      </c>
      <c r="C114" s="15">
        <v>2025</v>
      </c>
      <c r="D114" s="10">
        <v>45877</v>
      </c>
      <c r="E114" t="s">
        <v>10</v>
      </c>
      <c r="F114">
        <v>4</v>
      </c>
      <c r="G114" t="s">
        <v>25</v>
      </c>
      <c r="H114" s="2">
        <v>600000</v>
      </c>
      <c r="I114" s="2">
        <v>58000</v>
      </c>
      <c r="J114" s="2">
        <v>20000</v>
      </c>
      <c r="K114" s="2">
        <f t="shared" si="7"/>
        <v>522000</v>
      </c>
    </row>
    <row r="115" spans="1:11" x14ac:dyDescent="0.25">
      <c r="A115" t="str" cm="1">
        <f t="array" ref="A115">_xlfn.XLOOKUP(1,(Contratos!$B$2:$B$2000=G115)*(D115&gt;=Contratos!$E$2:$E$2000)*(D115&lt;=Contratos!$F$2:$F$2000),Contratos!$A$2:$A$2000,"")</f>
        <v>0f257e4c-3331-4e0e-869e-42c5a332a2a1</v>
      </c>
      <c r="B115" s="2" t="s">
        <v>60</v>
      </c>
      <c r="C115" s="15">
        <v>2025</v>
      </c>
      <c r="D115" s="10">
        <v>45910</v>
      </c>
      <c r="E115" t="s">
        <v>7</v>
      </c>
      <c r="F115">
        <v>1</v>
      </c>
      <c r="G115" t="s">
        <v>12</v>
      </c>
      <c r="H115" s="2">
        <v>700000</v>
      </c>
      <c r="I115" s="2">
        <v>68000</v>
      </c>
      <c r="J115" s="2">
        <v>20000</v>
      </c>
      <c r="K115" s="2">
        <f>H115-SUM(I115:J115)</f>
        <v>612000</v>
      </c>
    </row>
    <row r="116" spans="1:11" x14ac:dyDescent="0.25">
      <c r="A116" t="str" cm="1">
        <f t="array" ref="A116">_xlfn.XLOOKUP(1,(Contratos!$B$2:$B$2000=G116)*(D116&gt;=Contratos!$E$2:$E$2000)*(D116&lt;=Contratos!$F$2:$F$2000),Contratos!$A$2:$A$2000,"")</f>
        <v>0d8d157d-f9ab-4cd6-ac8a-7ed1a74a6746</v>
      </c>
      <c r="B116" s="2" t="s">
        <v>60</v>
      </c>
      <c r="C116" s="15">
        <v>2025</v>
      </c>
      <c r="D116" s="10">
        <v>45910</v>
      </c>
      <c r="E116" t="s">
        <v>7</v>
      </c>
      <c r="F116">
        <v>2</v>
      </c>
      <c r="G116" t="s">
        <v>13</v>
      </c>
      <c r="H116" s="2">
        <v>662700</v>
      </c>
      <c r="I116" s="2">
        <v>64270</v>
      </c>
      <c r="J116" s="2">
        <v>20000</v>
      </c>
      <c r="K116" s="2">
        <f t="shared" ref="K116:K128" si="8">H116-SUM(I116:J116)</f>
        <v>578430</v>
      </c>
    </row>
    <row r="117" spans="1:11" x14ac:dyDescent="0.25">
      <c r="A117" t="str" cm="1">
        <f t="array" ref="A117">_xlfn.XLOOKUP(1,(Contratos!$B$2:$B$2000=G117)*(D117&gt;=Contratos!$E$2:$E$2000)*(D117&lt;=Contratos!$F$2:$F$2000),Contratos!$A$2:$A$2000,"")</f>
        <v>3222d3e6-2b5b-4103-bc55-29e39c33ca84</v>
      </c>
      <c r="B117" s="2" t="s">
        <v>60</v>
      </c>
      <c r="C117" s="15">
        <v>2025</v>
      </c>
      <c r="D117" s="10">
        <v>45910</v>
      </c>
      <c r="E117" t="s">
        <v>7</v>
      </c>
      <c r="F117">
        <v>3</v>
      </c>
      <c r="G117" t="s">
        <v>14</v>
      </c>
      <c r="H117" s="2">
        <v>631200</v>
      </c>
      <c r="I117" s="2">
        <v>63120</v>
      </c>
      <c r="J117" s="2">
        <v>0</v>
      </c>
      <c r="K117" s="2">
        <f t="shared" si="8"/>
        <v>568080</v>
      </c>
    </row>
    <row r="118" spans="1:11" x14ac:dyDescent="0.25">
      <c r="A118" t="str" cm="1">
        <f t="array" ref="A118">_xlfn.XLOOKUP(1,(Contratos!$B$2:$B$2000=G118)*(D118&gt;=Contratos!$E$2:$E$2000)*(D118&lt;=Contratos!$F$2:$F$2000),Contratos!$A$2:$A$2000,"")</f>
        <v>1f5eb474-0cc5-4f59-bde6-8b6fb39d4b29</v>
      </c>
      <c r="B118" s="2" t="s">
        <v>60</v>
      </c>
      <c r="C118" s="15">
        <v>2025</v>
      </c>
      <c r="D118" s="10">
        <v>45910</v>
      </c>
      <c r="E118" t="s">
        <v>8</v>
      </c>
      <c r="F118">
        <v>1</v>
      </c>
      <c r="G118" t="s">
        <v>31</v>
      </c>
      <c r="H118" s="2">
        <v>800000</v>
      </c>
      <c r="I118" s="2">
        <v>78000</v>
      </c>
      <c r="J118" s="2">
        <v>20000</v>
      </c>
      <c r="K118" s="2">
        <f t="shared" si="8"/>
        <v>702000</v>
      </c>
    </row>
    <row r="119" spans="1:11" x14ac:dyDescent="0.25">
      <c r="A119" t="str" cm="1">
        <f t="array" ref="A119">_xlfn.XLOOKUP(1,(Contratos!$B$2:$B$2000=G119)*(D119&gt;=Contratos!$E$2:$E$2000)*(D119&lt;=Contratos!$F$2:$F$2000),Contratos!$A$2:$A$2000,"")</f>
        <v/>
      </c>
      <c r="B119" s="2" t="s">
        <v>60</v>
      </c>
      <c r="C119" s="15">
        <v>2025</v>
      </c>
      <c r="D119" s="10">
        <v>45910</v>
      </c>
      <c r="E119" t="s">
        <v>8</v>
      </c>
      <c r="F119">
        <v>2</v>
      </c>
      <c r="G119" t="s">
        <v>16</v>
      </c>
      <c r="H119" s="2">
        <v>688000</v>
      </c>
      <c r="I119" s="2">
        <v>66800</v>
      </c>
      <c r="J119" s="2">
        <v>20000</v>
      </c>
      <c r="K119" s="2">
        <f t="shared" si="8"/>
        <v>601200</v>
      </c>
    </row>
    <row r="120" spans="1:11" x14ac:dyDescent="0.25">
      <c r="A120" t="str" cm="1">
        <f t="array" ref="A120">_xlfn.XLOOKUP(1,(Contratos!$B$2:$B$2000=G120)*(D120&gt;=Contratos!$E$2:$E$2000)*(D120&lt;=Contratos!$F$2:$F$2000),Contratos!$A$2:$A$2000,"")</f>
        <v/>
      </c>
      <c r="B120" s="2" t="s">
        <v>60</v>
      </c>
      <c r="C120" s="15">
        <v>2025</v>
      </c>
      <c r="D120" s="10">
        <v>45910</v>
      </c>
      <c r="E120" t="s">
        <v>8</v>
      </c>
      <c r="F120">
        <v>3</v>
      </c>
      <c r="G120" t="s">
        <v>17</v>
      </c>
      <c r="H120" s="2">
        <v>632200</v>
      </c>
      <c r="I120" s="2">
        <v>61220</v>
      </c>
      <c r="J120" s="2">
        <v>20000</v>
      </c>
      <c r="K120" s="2">
        <f t="shared" si="8"/>
        <v>550980</v>
      </c>
    </row>
    <row r="121" spans="1:11" x14ac:dyDescent="0.25">
      <c r="A121" t="str" cm="1">
        <f t="array" ref="A121">_xlfn.XLOOKUP(1,(Contratos!$B$2:$B$2000=G121)*(D121&gt;=Contratos!$E$2:$E$2000)*(D121&lt;=Contratos!$F$2:$F$2000),Contratos!$A$2:$A$2000,"")</f>
        <v>02c61008-4e84-43c2-88b5-08e054eb6049</v>
      </c>
      <c r="B121" s="2" t="s">
        <v>60</v>
      </c>
      <c r="C121" s="15">
        <v>2025</v>
      </c>
      <c r="D121" s="10">
        <v>45910</v>
      </c>
      <c r="E121" t="s">
        <v>9</v>
      </c>
      <c r="F121">
        <v>1</v>
      </c>
      <c r="G121" t="s">
        <v>32</v>
      </c>
      <c r="H121" s="2">
        <v>850000</v>
      </c>
      <c r="I121" s="2">
        <v>83000</v>
      </c>
      <c r="J121" s="2">
        <v>20000</v>
      </c>
      <c r="K121" s="2">
        <f t="shared" si="8"/>
        <v>747000</v>
      </c>
    </row>
    <row r="122" spans="1:11" x14ac:dyDescent="0.25">
      <c r="A122" t="str" cm="1">
        <f t="array" ref="A122">_xlfn.XLOOKUP(1,(Contratos!$B$2:$B$2000=G122)*(D122&gt;=Contratos!$E$2:$E$2000)*(D122&lt;=Contratos!$F$2:$F$2000),Contratos!$A$2:$A$2000,"")</f>
        <v>359216a7-8ba9-4e24-8cac-7dc225c9d6e1</v>
      </c>
      <c r="B122" s="2" t="s">
        <v>60</v>
      </c>
      <c r="C122" s="15">
        <v>2025</v>
      </c>
      <c r="D122" s="10">
        <v>45910</v>
      </c>
      <c r="E122" t="s">
        <v>9</v>
      </c>
      <c r="F122">
        <v>2</v>
      </c>
      <c r="G122" t="s">
        <v>19</v>
      </c>
      <c r="H122" s="2">
        <v>764000</v>
      </c>
      <c r="I122" s="2">
        <v>74400</v>
      </c>
      <c r="J122" s="2">
        <v>20000</v>
      </c>
      <c r="K122" s="2">
        <f t="shared" si="8"/>
        <v>669600</v>
      </c>
    </row>
    <row r="123" spans="1:11" x14ac:dyDescent="0.25">
      <c r="A123" t="str" cm="1">
        <f t="array" ref="A123">_xlfn.XLOOKUP(1,(Contratos!$B$2:$B$2000=G123)*(D123&gt;=Contratos!$E$2:$E$2000)*(D123&lt;=Contratos!$F$2:$F$2000),Contratos!$A$2:$A$2000,"")</f>
        <v/>
      </c>
      <c r="B123" s="2" t="s">
        <v>60</v>
      </c>
      <c r="C123" s="15">
        <v>2025</v>
      </c>
      <c r="D123" s="10">
        <v>45910</v>
      </c>
      <c r="E123" t="s">
        <v>9</v>
      </c>
      <c r="F123">
        <v>3</v>
      </c>
      <c r="G123" t="s">
        <v>20</v>
      </c>
      <c r="H123" s="2">
        <v>700000</v>
      </c>
      <c r="I123" s="2">
        <v>68000</v>
      </c>
      <c r="J123" s="2">
        <v>20000</v>
      </c>
      <c r="K123" s="2">
        <f t="shared" si="8"/>
        <v>612000</v>
      </c>
    </row>
    <row r="124" spans="1:11" x14ac:dyDescent="0.25">
      <c r="A124" t="str" cm="1">
        <f t="array" ref="A124">_xlfn.XLOOKUP(1,(Contratos!$B$2:$B$2000=G124)*(D124&gt;=Contratos!$E$2:$E$2000)*(D124&lt;=Contratos!$F$2:$F$2000),Contratos!$A$2:$A$2000,"")</f>
        <v>b934fcd1-5390-4b7c-b3bc-4a642a1d7f9e</v>
      </c>
      <c r="B124" s="2" t="s">
        <v>60</v>
      </c>
      <c r="C124" s="15">
        <v>2025</v>
      </c>
      <c r="D124" s="10">
        <v>45910</v>
      </c>
      <c r="E124" t="s">
        <v>9</v>
      </c>
      <c r="F124">
        <v>4</v>
      </c>
      <c r="G124" t="s">
        <v>33</v>
      </c>
      <c r="H124" s="2">
        <v>650000</v>
      </c>
      <c r="I124" s="2">
        <v>63000</v>
      </c>
      <c r="J124" s="2">
        <v>20000</v>
      </c>
      <c r="K124" s="2">
        <f t="shared" si="8"/>
        <v>567000</v>
      </c>
    </row>
    <row r="125" spans="1:11" x14ac:dyDescent="0.25">
      <c r="A125" t="str" cm="1">
        <f t="array" ref="A125">_xlfn.XLOOKUP(1,(Contratos!$B$2:$B$2000=G125)*(D125&gt;=Contratos!$E$2:$E$2000)*(D125&lt;=Contratos!$F$2:$F$2000),Contratos!$A$2:$A$2000,"")</f>
        <v>01fb67ad-1898-47db-a814-5a658a723a89</v>
      </c>
      <c r="B125" s="2" t="s">
        <v>60</v>
      </c>
      <c r="C125" s="15">
        <v>2025</v>
      </c>
      <c r="D125" s="10">
        <v>45910</v>
      </c>
      <c r="E125" t="s">
        <v>10</v>
      </c>
      <c r="F125">
        <v>1</v>
      </c>
      <c r="G125" t="s">
        <v>22</v>
      </c>
      <c r="H125" s="2">
        <v>673280</v>
      </c>
      <c r="I125" s="2">
        <v>65328</v>
      </c>
      <c r="J125" s="2">
        <v>20000</v>
      </c>
      <c r="K125" s="2">
        <f t="shared" si="8"/>
        <v>587952</v>
      </c>
    </row>
    <row r="126" spans="1:11" x14ac:dyDescent="0.25">
      <c r="A126" t="str" cm="1">
        <f t="array" ref="A126">_xlfn.XLOOKUP(1,(Contratos!$B$2:$B$2000=G126)*(D126&gt;=Contratos!$E$2:$E$2000)*(D126&lt;=Contratos!$F$2:$F$2000),Contratos!$A$2:$A$2000,"")</f>
        <v>10959edc-7e2c-4e4e-b5ee-d6bdac93ae9e</v>
      </c>
      <c r="B126" s="2" t="s">
        <v>60</v>
      </c>
      <c r="C126" s="15">
        <v>2025</v>
      </c>
      <c r="D126" s="10">
        <v>45910</v>
      </c>
      <c r="E126" t="s">
        <v>10</v>
      </c>
      <c r="F126">
        <v>2</v>
      </c>
      <c r="G126" t="s">
        <v>23</v>
      </c>
      <c r="H126" s="2">
        <v>670000</v>
      </c>
      <c r="I126" s="2">
        <v>65000</v>
      </c>
      <c r="J126" s="2">
        <v>20000</v>
      </c>
      <c r="K126" s="2">
        <f t="shared" si="8"/>
        <v>585000</v>
      </c>
    </row>
    <row r="127" spans="1:11" x14ac:dyDescent="0.25">
      <c r="A127" t="str" cm="1">
        <f t="array" ref="A127">_xlfn.XLOOKUP(1,(Contratos!$B$2:$B$2000=G127)*(D127&gt;=Contratos!$E$2:$E$2000)*(D127&lt;=Contratos!$F$2:$F$2000),Contratos!$A$2:$A$2000,"")</f>
        <v/>
      </c>
      <c r="B127" s="2" t="s">
        <v>60</v>
      </c>
      <c r="C127" s="15">
        <v>2025</v>
      </c>
      <c r="D127" s="10">
        <v>45910</v>
      </c>
      <c r="E127" t="s">
        <v>10</v>
      </c>
      <c r="F127">
        <v>3</v>
      </c>
      <c r="H127" s="2">
        <v>0</v>
      </c>
      <c r="I127" s="2">
        <v>0</v>
      </c>
      <c r="J127" s="2">
        <v>0</v>
      </c>
      <c r="K127" s="2">
        <f t="shared" si="8"/>
        <v>0</v>
      </c>
    </row>
    <row r="128" spans="1:11" x14ac:dyDescent="0.25">
      <c r="A128" t="str" cm="1">
        <f t="array" ref="A128">_xlfn.XLOOKUP(1,(Contratos!$B$2:$B$2000=G128)*(D128&gt;=Contratos!$E$2:$E$2000)*(D128&lt;=Contratos!$F$2:$F$2000),Contratos!$A$2:$A$2000,"")</f>
        <v>1138e6b0-3b54-4f90-9461-f8f76393e615</v>
      </c>
      <c r="B128" s="2" t="s">
        <v>60</v>
      </c>
      <c r="C128" s="15">
        <v>2025</v>
      </c>
      <c r="D128" s="10">
        <v>45910</v>
      </c>
      <c r="E128" t="s">
        <v>10</v>
      </c>
      <c r="F128">
        <v>4</v>
      </c>
      <c r="G128" t="s">
        <v>25</v>
      </c>
      <c r="H128" s="2">
        <v>600000</v>
      </c>
      <c r="I128" s="2">
        <v>63000</v>
      </c>
      <c r="J128" s="2">
        <v>20000</v>
      </c>
      <c r="K128" s="2">
        <f t="shared" si="8"/>
        <v>517000</v>
      </c>
    </row>
    <row r="129" spans="1:11" x14ac:dyDescent="0.25">
      <c r="A129" t="str" cm="1">
        <f t="array" ref="A129">_xlfn.XLOOKUP(1,(Contratos!$B$2:$B$2000=G129)*(D129&gt;=Contratos!$E$2:$E$2000)*(D129&lt;=Contratos!$F$2:$F$2000),Contratos!$A$2:$A$2000,"")</f>
        <v>3dcc043e-cebd-4562-843a-73004bc5a5fb</v>
      </c>
      <c r="B129" s="2" t="s">
        <v>61</v>
      </c>
      <c r="C129" s="15">
        <v>2025</v>
      </c>
      <c r="D129" s="10">
        <v>45939</v>
      </c>
      <c r="E129" t="s">
        <v>7</v>
      </c>
      <c r="F129">
        <v>1</v>
      </c>
      <c r="G129" t="s">
        <v>12</v>
      </c>
      <c r="H129" s="2">
        <v>736400</v>
      </c>
      <c r="I129" s="2">
        <v>74640</v>
      </c>
      <c r="J129" s="2">
        <v>20000</v>
      </c>
      <c r="K129" s="2">
        <f>H129-SUM(I129:J129)</f>
        <v>641760</v>
      </c>
    </row>
    <row r="130" spans="1:11" x14ac:dyDescent="0.25">
      <c r="A130" t="str" cm="1">
        <f t="array" ref="A130">_xlfn.XLOOKUP(1,(Contratos!$B$2:$B$2000=G130)*(D130&gt;=Contratos!$E$2:$E$2000)*(D130&lt;=Contratos!$F$2:$F$2000),Contratos!$A$2:$A$2000,"")</f>
        <v>0d8d157d-f9ab-4cd6-ac8a-7ed1a74a6746</v>
      </c>
      <c r="B130" s="2" t="s">
        <v>61</v>
      </c>
      <c r="C130" s="15">
        <v>2025</v>
      </c>
      <c r="D130" s="10">
        <v>45939</v>
      </c>
      <c r="E130" t="s">
        <v>7</v>
      </c>
      <c r="F130">
        <v>2</v>
      </c>
      <c r="G130" t="s">
        <v>13</v>
      </c>
      <c r="H130" s="2">
        <v>662700</v>
      </c>
      <c r="I130" s="2">
        <v>64270</v>
      </c>
      <c r="J130" s="2">
        <v>20000</v>
      </c>
      <c r="K130" s="2">
        <f t="shared" ref="K130:K143" si="9">H130-SUM(I130:J130)</f>
        <v>578430</v>
      </c>
    </row>
    <row r="131" spans="1:11" x14ac:dyDescent="0.25">
      <c r="A131" t="str" cm="1">
        <f t="array" ref="A131">_xlfn.XLOOKUP(1,(Contratos!$B$2:$B$2000=G131)*(D131&gt;=Contratos!$E$2:$E$2000)*(D131&lt;=Contratos!$F$2:$F$2000),Contratos!$A$2:$A$2000,"")</f>
        <v>3222d3e6-2b5b-4103-bc55-29e39c33ca84</v>
      </c>
      <c r="B131" s="2" t="s">
        <v>61</v>
      </c>
      <c r="C131" s="15">
        <v>2025</v>
      </c>
      <c r="D131" s="10">
        <v>45939</v>
      </c>
      <c r="E131" t="s">
        <v>7</v>
      </c>
      <c r="F131">
        <v>3</v>
      </c>
      <c r="G131" t="s">
        <v>14</v>
      </c>
      <c r="H131" s="2">
        <v>631200</v>
      </c>
      <c r="I131" s="2">
        <v>63120</v>
      </c>
      <c r="J131" s="2">
        <v>0</v>
      </c>
      <c r="K131" s="2">
        <f t="shared" si="9"/>
        <v>568080</v>
      </c>
    </row>
    <row r="132" spans="1:11" x14ac:dyDescent="0.25">
      <c r="A132" t="str" cm="1">
        <f t="array" ref="A132">_xlfn.XLOOKUP(1,(Contratos!$B$2:$B$2000=G132)*(D132&gt;=Contratos!$E$2:$E$2000)*(D132&lt;=Contratos!$F$2:$F$2000),Contratos!$A$2:$A$2000,"")</f>
        <v>1f5eb474-0cc5-4f59-bde6-8b6fb39d4b29</v>
      </c>
      <c r="B132" s="2" t="s">
        <v>61</v>
      </c>
      <c r="C132" s="15">
        <v>2025</v>
      </c>
      <c r="D132" s="10">
        <v>45939</v>
      </c>
      <c r="E132" t="s">
        <v>8</v>
      </c>
      <c r="F132">
        <v>1</v>
      </c>
      <c r="G132" t="s">
        <v>31</v>
      </c>
      <c r="H132" s="2">
        <v>800000</v>
      </c>
      <c r="I132" s="2">
        <v>78000</v>
      </c>
      <c r="J132" s="2">
        <v>20000</v>
      </c>
      <c r="K132" s="2">
        <f t="shared" si="9"/>
        <v>702000</v>
      </c>
    </row>
    <row r="133" spans="1:11" x14ac:dyDescent="0.25">
      <c r="A133" t="str" cm="1">
        <f t="array" ref="A133">_xlfn.XLOOKUP(1,(Contratos!$B$2:$B$2000=G133)*(D133&gt;=Contratos!$E$2:$E$2000)*(D133&lt;=Contratos!$F$2:$F$2000),Contratos!$A$2:$A$2000,"")</f>
        <v/>
      </c>
      <c r="B133" s="2" t="s">
        <v>61</v>
      </c>
      <c r="C133" s="15">
        <v>2025</v>
      </c>
      <c r="D133" s="10">
        <v>45939</v>
      </c>
      <c r="E133" t="s">
        <v>8</v>
      </c>
      <c r="F133">
        <v>2</v>
      </c>
      <c r="G133" t="s">
        <v>16</v>
      </c>
      <c r="H133" s="2">
        <v>688000</v>
      </c>
      <c r="I133" s="2">
        <v>66800</v>
      </c>
      <c r="J133" s="2">
        <v>20000</v>
      </c>
      <c r="K133" s="2">
        <f t="shared" si="9"/>
        <v>601200</v>
      </c>
    </row>
    <row r="134" spans="1:11" x14ac:dyDescent="0.25">
      <c r="A134" t="str" cm="1">
        <f t="array" ref="A134">_xlfn.XLOOKUP(1,(Contratos!$B$2:$B$2000=G134)*(D134&gt;=Contratos!$E$2:$E$2000)*(D134&lt;=Contratos!$F$2:$F$2000),Contratos!$A$2:$A$2000,"")</f>
        <v/>
      </c>
      <c r="B134" s="2" t="s">
        <v>61</v>
      </c>
      <c r="C134" s="15">
        <v>2025</v>
      </c>
      <c r="D134" s="10">
        <v>45939</v>
      </c>
      <c r="E134" t="s">
        <v>8</v>
      </c>
      <c r="F134">
        <v>3</v>
      </c>
      <c r="G134" t="s">
        <v>17</v>
      </c>
      <c r="H134" s="2">
        <v>632200</v>
      </c>
      <c r="I134" s="2">
        <v>61220</v>
      </c>
      <c r="J134" s="2">
        <v>20000</v>
      </c>
      <c r="K134" s="2">
        <f t="shared" si="9"/>
        <v>550980</v>
      </c>
    </row>
    <row r="135" spans="1:11" x14ac:dyDescent="0.25">
      <c r="A135" t="str" cm="1">
        <f t="array" ref="A135">_xlfn.XLOOKUP(1,(Contratos!$B$2:$B$2000=G135)*(D135&gt;=Contratos!$E$2:$E$2000)*(D135&lt;=Contratos!$F$2:$F$2000),Contratos!$A$2:$A$2000,"")</f>
        <v>02c61008-4e84-43c2-88b5-08e054eb6049</v>
      </c>
      <c r="B135" s="2" t="s">
        <v>61</v>
      </c>
      <c r="C135" s="15">
        <v>2025</v>
      </c>
      <c r="D135" s="10">
        <v>45939</v>
      </c>
      <c r="E135" t="s">
        <v>9</v>
      </c>
      <c r="F135">
        <v>1</v>
      </c>
      <c r="G135" t="s">
        <v>32</v>
      </c>
      <c r="H135" s="2">
        <v>850000</v>
      </c>
      <c r="I135" s="2">
        <v>83000</v>
      </c>
      <c r="J135" s="2">
        <v>20000</v>
      </c>
      <c r="K135" s="2">
        <f t="shared" si="9"/>
        <v>747000</v>
      </c>
    </row>
    <row r="136" spans="1:11" x14ac:dyDescent="0.25">
      <c r="A136" t="str" cm="1">
        <f t="array" ref="A136">_xlfn.XLOOKUP(1,(Contratos!$B$2:$B$2000=G136)*(D136&gt;=Contratos!$E$2:$E$2000)*(D136&lt;=Contratos!$F$2:$F$2000),Contratos!$A$2:$A$2000,"")</f>
        <v>359216a7-8ba9-4e24-8cac-7dc225c9d6e1</v>
      </c>
      <c r="B136" s="2" t="s">
        <v>61</v>
      </c>
      <c r="C136" s="15">
        <v>2025</v>
      </c>
      <c r="D136" s="10">
        <v>45939</v>
      </c>
      <c r="E136" t="s">
        <v>9</v>
      </c>
      <c r="F136">
        <v>2</v>
      </c>
      <c r="G136" t="s">
        <v>19</v>
      </c>
      <c r="H136" s="2">
        <v>803700</v>
      </c>
      <c r="I136" s="2">
        <v>78370</v>
      </c>
      <c r="J136" s="2">
        <v>20000</v>
      </c>
      <c r="K136" s="2">
        <f t="shared" si="9"/>
        <v>705330</v>
      </c>
    </row>
    <row r="137" spans="1:11" x14ac:dyDescent="0.25">
      <c r="A137" t="str" cm="1">
        <f t="array" ref="A137">_xlfn.XLOOKUP(1,(Contratos!$B$2:$B$2000=G137)*(D137&gt;=Contratos!$E$2:$E$2000)*(D137&lt;=Contratos!$F$2:$F$2000),Contratos!$A$2:$A$2000,"")</f>
        <v/>
      </c>
      <c r="B137" s="2" t="s">
        <v>61</v>
      </c>
      <c r="C137" s="15">
        <v>2025</v>
      </c>
      <c r="D137" s="10">
        <v>45939</v>
      </c>
      <c r="E137" t="s">
        <v>9</v>
      </c>
      <c r="F137">
        <v>3</v>
      </c>
      <c r="G137" t="s">
        <v>20</v>
      </c>
      <c r="H137" s="2">
        <v>700000</v>
      </c>
      <c r="I137" s="2">
        <v>68000</v>
      </c>
      <c r="J137" s="2">
        <v>20000</v>
      </c>
      <c r="K137" s="2">
        <f t="shared" si="9"/>
        <v>612000</v>
      </c>
    </row>
    <row r="138" spans="1:11" x14ac:dyDescent="0.25">
      <c r="A138" t="str" cm="1">
        <f t="array" ref="A138">_xlfn.XLOOKUP(1,(Contratos!$B$2:$B$2000=G138)*(D138&gt;=Contratos!$E$2:$E$2000)*(D138&lt;=Contratos!$F$2:$F$2000),Contratos!$A$2:$A$2000,"")</f>
        <v>b934fcd1-5390-4b7c-b3bc-4a642a1d7f9e</v>
      </c>
      <c r="B138" s="2" t="s">
        <v>61</v>
      </c>
      <c r="C138" s="15">
        <v>2025</v>
      </c>
      <c r="D138" s="10">
        <v>45939</v>
      </c>
      <c r="E138" t="s">
        <v>9</v>
      </c>
      <c r="F138">
        <v>4</v>
      </c>
      <c r="G138" t="s">
        <v>33</v>
      </c>
      <c r="H138" s="2">
        <v>650000</v>
      </c>
      <c r="I138" s="2">
        <v>63000</v>
      </c>
      <c r="J138" s="2">
        <v>20000</v>
      </c>
      <c r="K138" s="2">
        <f t="shared" si="9"/>
        <v>567000</v>
      </c>
    </row>
    <row r="139" spans="1:11" x14ac:dyDescent="0.25">
      <c r="A139" t="str" cm="1">
        <f t="array" ref="A139">_xlfn.XLOOKUP(1,(Contratos!$B$2:$B$2000=G139)*(D139&gt;=Contratos!$E$2:$E$2000)*(D139&lt;=Contratos!$F$2:$F$2000),Contratos!$A$2:$A$2000,"")</f>
        <v>01fb67ad-1898-47db-a814-5a658a723a89</v>
      </c>
      <c r="B139" s="2" t="s">
        <v>61</v>
      </c>
      <c r="C139" s="15">
        <v>2025</v>
      </c>
      <c r="D139" s="10">
        <v>45939</v>
      </c>
      <c r="E139" t="s">
        <v>10</v>
      </c>
      <c r="F139">
        <v>1</v>
      </c>
      <c r="G139" t="s">
        <v>22</v>
      </c>
      <c r="H139" s="2">
        <v>673280</v>
      </c>
      <c r="I139" s="2">
        <v>65328</v>
      </c>
      <c r="J139" s="2">
        <v>20000</v>
      </c>
      <c r="K139" s="2">
        <f t="shared" si="9"/>
        <v>587952</v>
      </c>
    </row>
    <row r="140" spans="1:11" x14ac:dyDescent="0.25">
      <c r="A140" t="str" cm="1">
        <f t="array" ref="A140">_xlfn.XLOOKUP(1,(Contratos!$B$2:$B$2000=G140)*(D140&gt;=Contratos!$E$2:$E$2000)*(D140&lt;=Contratos!$F$2:$F$2000),Contratos!$A$2:$A$2000,"")</f>
        <v>10959edc-7e2c-4e4e-b5ee-d6bdac93ae9e</v>
      </c>
      <c r="B140" s="2" t="s">
        <v>61</v>
      </c>
      <c r="C140" s="15">
        <v>2025</v>
      </c>
      <c r="D140" s="10">
        <v>45939</v>
      </c>
      <c r="E140" t="s">
        <v>10</v>
      </c>
      <c r="F140">
        <v>2</v>
      </c>
      <c r="G140" t="s">
        <v>23</v>
      </c>
      <c r="H140" s="2">
        <v>704800</v>
      </c>
      <c r="I140" s="2">
        <v>68480</v>
      </c>
      <c r="J140" s="2">
        <v>20000</v>
      </c>
      <c r="K140" s="2">
        <f t="shared" si="9"/>
        <v>616320</v>
      </c>
    </row>
    <row r="141" spans="1:11" x14ac:dyDescent="0.25">
      <c r="A141" t="str" cm="1">
        <f t="array" ref="A141">_xlfn.XLOOKUP(1,(Contratos!$B$2:$B$2000=G141)*(D141&gt;=Contratos!$E$2:$E$2000)*(D141&lt;=Contratos!$F$2:$F$2000),Contratos!$A$2:$A$2000,"")</f>
        <v>2aaff763-f744-410b-9718-249c5a655998</v>
      </c>
      <c r="B141" s="2" t="s">
        <v>61</v>
      </c>
      <c r="C141" s="15">
        <v>2025</v>
      </c>
      <c r="D141" s="10">
        <v>45939</v>
      </c>
      <c r="E141" t="s">
        <v>10</v>
      </c>
      <c r="F141">
        <v>3</v>
      </c>
      <c r="G141" t="s">
        <v>34</v>
      </c>
      <c r="H141" s="2">
        <v>680000</v>
      </c>
      <c r="I141" s="2">
        <v>66000</v>
      </c>
      <c r="J141" s="2">
        <v>0</v>
      </c>
      <c r="K141" s="2">
        <f t="shared" si="9"/>
        <v>614000</v>
      </c>
    </row>
    <row r="142" spans="1:11" x14ac:dyDescent="0.25">
      <c r="A142" t="str" cm="1">
        <f t="array" ref="A142">_xlfn.XLOOKUP(1,(Contratos!$B$2:$B$2000=G142)*(D142&gt;=Contratos!$E$2:$E$2000)*(D142&lt;=Contratos!$F$2:$F$2000),Contratos!$A$2:$A$2000,"")</f>
        <v>2aaff763-f744-410b-9718-249c5a655998</v>
      </c>
      <c r="B142" s="2" t="s">
        <v>61</v>
      </c>
      <c r="C142" s="15">
        <v>2025</v>
      </c>
      <c r="D142" s="10">
        <v>45939</v>
      </c>
      <c r="E142" t="s">
        <v>10</v>
      </c>
      <c r="F142">
        <v>3</v>
      </c>
      <c r="G142" t="s">
        <v>34</v>
      </c>
      <c r="H142" s="9">
        <v>113333</v>
      </c>
      <c r="I142" s="2">
        <v>0</v>
      </c>
      <c r="J142" s="2">
        <v>0</v>
      </c>
      <c r="K142" s="2">
        <f t="shared" ref="K142" si="10">H142-SUM(I142:J142)</f>
        <v>113333</v>
      </c>
    </row>
    <row r="143" spans="1:11" x14ac:dyDescent="0.25">
      <c r="A143" t="str" cm="1">
        <f t="array" ref="A143">_xlfn.XLOOKUP(1,(Contratos!$B$2:$B$2000=G143)*(D143&gt;=Contratos!$E$2:$E$2000)*(D143&lt;=Contratos!$F$2:$F$2000),Contratos!$A$2:$A$2000,"")</f>
        <v>1138e6b0-3b54-4f90-9461-f8f76393e615</v>
      </c>
      <c r="B143" s="2" t="s">
        <v>61</v>
      </c>
      <c r="C143" s="15">
        <v>2025</v>
      </c>
      <c r="D143" s="10">
        <v>45939</v>
      </c>
      <c r="E143" t="s">
        <v>10</v>
      </c>
      <c r="F143">
        <v>4</v>
      </c>
      <c r="G143" t="s">
        <v>25</v>
      </c>
      <c r="H143" s="2">
        <v>631200</v>
      </c>
      <c r="I143" s="2">
        <v>61120</v>
      </c>
      <c r="J143" s="2">
        <v>20000</v>
      </c>
      <c r="K143" s="2">
        <f t="shared" si="9"/>
        <v>550080</v>
      </c>
    </row>
    <row r="144" spans="1:11" x14ac:dyDescent="0.25">
      <c r="A144" t="str" cm="1">
        <f t="array" ref="A144">_xlfn.XLOOKUP(1,(Contratos!$B$2:$B$2000=G144)*(D144&gt;=Contratos!$E$2:$E$2000)*(D144&lt;=Contratos!$F$2:$F$2000),Contratos!$A$2:$A$2000,"")</f>
        <v>3dcc043e-cebd-4562-843a-73004bc5a5fb</v>
      </c>
      <c r="B144" s="2" t="s">
        <v>62</v>
      </c>
      <c r="C144" s="15">
        <v>2025</v>
      </c>
      <c r="D144" s="10">
        <v>45969</v>
      </c>
      <c r="E144" t="s">
        <v>7</v>
      </c>
      <c r="F144">
        <v>1</v>
      </c>
      <c r="G144" t="s">
        <v>12</v>
      </c>
      <c r="H144" s="2">
        <v>736400</v>
      </c>
      <c r="I144" s="2">
        <v>74640</v>
      </c>
      <c r="J144" s="2">
        <v>20000</v>
      </c>
      <c r="K144" s="2">
        <f>H144-SUM(I144:J144)</f>
        <v>641760</v>
      </c>
    </row>
    <row r="145" spans="1:11" x14ac:dyDescent="0.25">
      <c r="A145" t="str" cm="1">
        <f t="array" ref="A145">_xlfn.XLOOKUP(1,(Contratos!$B$2:$B$2000=G145)*(D145&gt;=Contratos!$E$2:$E$2000)*(D145&lt;=Contratos!$F$2:$F$2000),Contratos!$A$2:$A$2000,"")</f>
        <v>e39b3e8a-33b6-49ac-8fe8-f4ed22ad8b90</v>
      </c>
      <c r="B145" s="2" t="s">
        <v>62</v>
      </c>
      <c r="C145" s="15">
        <v>2025</v>
      </c>
      <c r="D145" s="10">
        <v>45969</v>
      </c>
      <c r="E145" t="s">
        <v>7</v>
      </c>
      <c r="F145">
        <v>2</v>
      </c>
      <c r="G145" t="s">
        <v>13</v>
      </c>
      <c r="H145" s="2">
        <v>662700</v>
      </c>
      <c r="I145" s="2">
        <v>64270</v>
      </c>
      <c r="J145" s="2">
        <v>20000</v>
      </c>
      <c r="K145" s="2">
        <f t="shared" ref="K145:K157" si="11">H145-SUM(I145:J145)</f>
        <v>578430</v>
      </c>
    </row>
    <row r="146" spans="1:11" x14ac:dyDescent="0.25">
      <c r="A146" t="str" cm="1">
        <f t="array" ref="A146">_xlfn.XLOOKUP(1,(Contratos!$B$2:$B$2000=G146)*(D146&gt;=Contratos!$E$2:$E$2000)*(D146&lt;=Contratos!$F$2:$F$2000),Contratos!$A$2:$A$2000,"")</f>
        <v>3222d3e6-2b5b-4103-bc55-29e39c33ca84</v>
      </c>
      <c r="B146" s="2" t="s">
        <v>62</v>
      </c>
      <c r="C146" s="15">
        <v>2025</v>
      </c>
      <c r="D146" s="10">
        <v>45969</v>
      </c>
      <c r="E146" t="s">
        <v>7</v>
      </c>
      <c r="F146">
        <v>3</v>
      </c>
      <c r="G146" t="s">
        <v>14</v>
      </c>
      <c r="H146" s="2">
        <v>631200</v>
      </c>
      <c r="I146" s="2">
        <v>63120</v>
      </c>
      <c r="J146" s="2">
        <v>0</v>
      </c>
      <c r="K146" s="2">
        <f t="shared" si="11"/>
        <v>568080</v>
      </c>
    </row>
    <row r="147" spans="1:11" x14ac:dyDescent="0.25">
      <c r="A147" t="str" cm="1">
        <f t="array" ref="A147">_xlfn.XLOOKUP(1,(Contratos!$B$2:$B$2000=G147)*(D147&gt;=Contratos!$E$2:$E$2000)*(D147&lt;=Contratos!$F$2:$F$2000),Contratos!$A$2:$A$2000,"")</f>
        <v>1f5eb474-0cc5-4f59-bde6-8b6fb39d4b29</v>
      </c>
      <c r="B147" s="2" t="s">
        <v>62</v>
      </c>
      <c r="C147" s="15">
        <v>2025</v>
      </c>
      <c r="D147" s="10">
        <v>45969</v>
      </c>
      <c r="E147" t="s">
        <v>8</v>
      </c>
      <c r="F147">
        <v>1</v>
      </c>
      <c r="G147" t="s">
        <v>31</v>
      </c>
      <c r="H147" s="2">
        <v>800000</v>
      </c>
      <c r="I147" s="2">
        <v>78000</v>
      </c>
      <c r="J147" s="2">
        <v>20000</v>
      </c>
      <c r="K147" s="2">
        <f t="shared" si="11"/>
        <v>702000</v>
      </c>
    </row>
    <row r="148" spans="1:11" x14ac:dyDescent="0.25">
      <c r="A148" t="str" cm="1">
        <f t="array" ref="A148">_xlfn.XLOOKUP(1,(Contratos!$B$2:$B$2000=G148)*(D148&gt;=Contratos!$E$2:$E$2000)*(D148&lt;=Contratos!$F$2:$F$2000),Contratos!$A$2:$A$2000,"")</f>
        <v/>
      </c>
      <c r="B148" s="2" t="s">
        <v>62</v>
      </c>
      <c r="C148" s="15">
        <v>2025</v>
      </c>
      <c r="D148" s="10">
        <v>45969</v>
      </c>
      <c r="E148" t="s">
        <v>8</v>
      </c>
      <c r="F148">
        <v>2</v>
      </c>
      <c r="G148" t="s">
        <v>16</v>
      </c>
      <c r="H148" s="2">
        <v>688000</v>
      </c>
      <c r="I148" s="2">
        <v>66800</v>
      </c>
      <c r="J148" s="2">
        <v>20000</v>
      </c>
      <c r="K148" s="2">
        <f t="shared" si="11"/>
        <v>601200</v>
      </c>
    </row>
    <row r="149" spans="1:11" x14ac:dyDescent="0.25">
      <c r="A149" t="str" cm="1">
        <f t="array" ref="A149">_xlfn.XLOOKUP(1,(Contratos!$B$2:$B$2000=G149)*(D149&gt;=Contratos!$E$2:$E$2000)*(D149&lt;=Contratos!$F$2:$F$2000),Contratos!$A$2:$A$2000,"")</f>
        <v/>
      </c>
      <c r="B149" s="2" t="s">
        <v>62</v>
      </c>
      <c r="C149" s="15">
        <v>2025</v>
      </c>
      <c r="D149" s="10">
        <v>45969</v>
      </c>
      <c r="E149" t="s">
        <v>8</v>
      </c>
      <c r="F149">
        <v>3</v>
      </c>
      <c r="G149" t="s">
        <v>17</v>
      </c>
      <c r="H149" s="2">
        <v>632200</v>
      </c>
      <c r="I149" s="2">
        <v>61220</v>
      </c>
      <c r="J149" s="2">
        <v>20000</v>
      </c>
      <c r="K149" s="2">
        <f t="shared" si="11"/>
        <v>550980</v>
      </c>
    </row>
    <row r="150" spans="1:11" x14ac:dyDescent="0.25">
      <c r="A150" t="str" cm="1">
        <f t="array" ref="A150">_xlfn.XLOOKUP(1,(Contratos!$B$2:$B$2000=G150)*(D150&gt;=Contratos!$E$2:$E$2000)*(D150&lt;=Contratos!$F$2:$F$2000),Contratos!$A$2:$A$2000,"")</f>
        <v>02c61008-4e84-43c2-88b5-08e054eb6049</v>
      </c>
      <c r="B150" s="2" t="s">
        <v>62</v>
      </c>
      <c r="C150" s="15">
        <v>2025</v>
      </c>
      <c r="D150" s="10">
        <v>45969</v>
      </c>
      <c r="E150" t="s">
        <v>9</v>
      </c>
      <c r="F150">
        <v>1</v>
      </c>
      <c r="G150" t="s">
        <v>32</v>
      </c>
      <c r="H150" s="2">
        <v>850000</v>
      </c>
      <c r="I150" s="2">
        <v>83000</v>
      </c>
      <c r="J150" s="2">
        <v>20000</v>
      </c>
      <c r="K150" s="2">
        <f t="shared" si="11"/>
        <v>747000</v>
      </c>
    </row>
    <row r="151" spans="1:11" x14ac:dyDescent="0.25">
      <c r="A151" t="str" cm="1">
        <f t="array" ref="A151">_xlfn.XLOOKUP(1,(Contratos!$B$2:$B$2000=G151)*(D151&gt;=Contratos!$E$2:$E$2000)*(D151&lt;=Contratos!$F$2:$F$2000),Contratos!$A$2:$A$2000,"")</f>
        <v>359216a7-8ba9-4e24-8cac-7dc225c9d6e1</v>
      </c>
      <c r="B151" s="2" t="s">
        <v>62</v>
      </c>
      <c r="C151" s="15">
        <v>2025</v>
      </c>
      <c r="D151" s="10">
        <v>45969</v>
      </c>
      <c r="E151" t="s">
        <v>9</v>
      </c>
      <c r="F151">
        <v>2</v>
      </c>
      <c r="G151" t="s">
        <v>19</v>
      </c>
      <c r="H151" s="2">
        <v>803700</v>
      </c>
      <c r="I151" s="2">
        <v>78370</v>
      </c>
      <c r="J151" s="2">
        <v>20000</v>
      </c>
      <c r="K151" s="2">
        <f t="shared" si="11"/>
        <v>705330</v>
      </c>
    </row>
    <row r="152" spans="1:11" x14ac:dyDescent="0.25">
      <c r="A152" t="str" cm="1">
        <f t="array" ref="A152">_xlfn.XLOOKUP(1,(Contratos!$B$2:$B$2000=G152)*(D152&gt;=Contratos!$E$2:$E$2000)*(D152&lt;=Contratos!$F$2:$F$2000),Contratos!$A$2:$A$2000,"")</f>
        <v/>
      </c>
      <c r="B152" s="2" t="s">
        <v>62</v>
      </c>
      <c r="C152" s="15">
        <v>2025</v>
      </c>
      <c r="D152" s="10">
        <v>45969</v>
      </c>
      <c r="E152" t="s">
        <v>9</v>
      </c>
      <c r="F152">
        <v>3</v>
      </c>
      <c r="G152" t="s">
        <v>20</v>
      </c>
      <c r="H152" s="2">
        <v>700000</v>
      </c>
      <c r="I152" s="2">
        <v>68000</v>
      </c>
      <c r="J152" s="2">
        <v>20000</v>
      </c>
      <c r="K152" s="2">
        <f t="shared" si="11"/>
        <v>612000</v>
      </c>
    </row>
    <row r="153" spans="1:11" x14ac:dyDescent="0.25">
      <c r="A153" t="str" cm="1">
        <f t="array" ref="A153">_xlfn.XLOOKUP(1,(Contratos!$B$2:$B$2000=G153)*(D153&gt;=Contratos!$E$2:$E$2000)*(D153&lt;=Contratos!$F$2:$F$2000),Contratos!$A$2:$A$2000,"")</f>
        <v>b934fcd1-5390-4b7c-b3bc-4a642a1d7f9e</v>
      </c>
      <c r="B153" s="2" t="s">
        <v>62</v>
      </c>
      <c r="C153" s="15">
        <v>2025</v>
      </c>
      <c r="D153" s="10">
        <v>45969</v>
      </c>
      <c r="E153" t="s">
        <v>9</v>
      </c>
      <c r="F153">
        <v>4</v>
      </c>
      <c r="G153" t="s">
        <v>33</v>
      </c>
      <c r="H153" s="2">
        <v>650000</v>
      </c>
      <c r="I153" s="2">
        <v>63000</v>
      </c>
      <c r="J153" s="2">
        <v>20000</v>
      </c>
      <c r="K153" s="2">
        <f t="shared" si="11"/>
        <v>567000</v>
      </c>
    </row>
    <row r="154" spans="1:11" x14ac:dyDescent="0.25">
      <c r="A154" t="str" cm="1">
        <f t="array" ref="A154">_xlfn.XLOOKUP(1,(Contratos!$B$2:$B$2000=G154)*(D154&gt;=Contratos!$E$2:$E$2000)*(D154&lt;=Contratos!$F$2:$F$2000),Contratos!$A$2:$A$2000,"")</f>
        <v>40f08409-f7a6-467c-8e53-1f5a9a143a9f</v>
      </c>
      <c r="B154" s="2" t="s">
        <v>62</v>
      </c>
      <c r="C154" s="15">
        <v>2025</v>
      </c>
      <c r="D154" s="10">
        <v>45969</v>
      </c>
      <c r="E154" t="s">
        <v>10</v>
      </c>
      <c r="F154">
        <v>1</v>
      </c>
      <c r="G154" t="s">
        <v>22</v>
      </c>
      <c r="H154" s="2">
        <v>673280</v>
      </c>
      <c r="I154" s="2">
        <v>65328</v>
      </c>
      <c r="J154" s="2">
        <v>20000</v>
      </c>
      <c r="K154" s="2">
        <f t="shared" si="11"/>
        <v>587952</v>
      </c>
    </row>
    <row r="155" spans="1:11" x14ac:dyDescent="0.25">
      <c r="A155" t="str" cm="1">
        <f t="array" ref="A155">_xlfn.XLOOKUP(1,(Contratos!$B$2:$B$2000=G155)*(D155&gt;=Contratos!$E$2:$E$2000)*(D155&lt;=Contratos!$F$2:$F$2000),Contratos!$A$2:$A$2000,"")</f>
        <v>10959edc-7e2c-4e4e-b5ee-d6bdac93ae9e</v>
      </c>
      <c r="B155" s="2" t="s">
        <v>62</v>
      </c>
      <c r="C155" s="15">
        <v>2025</v>
      </c>
      <c r="D155" s="10">
        <v>45969</v>
      </c>
      <c r="E155" t="s">
        <v>10</v>
      </c>
      <c r="F155">
        <v>2</v>
      </c>
      <c r="G155" t="s">
        <v>23</v>
      </c>
      <c r="H155" s="2">
        <v>704800</v>
      </c>
      <c r="I155" s="2">
        <v>68480</v>
      </c>
      <c r="J155" s="2">
        <v>20000</v>
      </c>
      <c r="K155" s="2">
        <f t="shared" si="11"/>
        <v>616320</v>
      </c>
    </row>
    <row r="156" spans="1:11" x14ac:dyDescent="0.25">
      <c r="A156" t="str" cm="1">
        <f t="array" ref="A156">_xlfn.XLOOKUP(1,(Contratos!$B$2:$B$2000=G156)*(D156&gt;=Contratos!$E$2:$E$2000)*(D156&lt;=Contratos!$F$2:$F$2000),Contratos!$A$2:$A$2000,"")</f>
        <v>2aaff763-f744-410b-9718-249c5a655998</v>
      </c>
      <c r="B156" s="2" t="s">
        <v>62</v>
      </c>
      <c r="C156" s="15">
        <v>2025</v>
      </c>
      <c r="D156" s="10">
        <v>45969</v>
      </c>
      <c r="E156" t="s">
        <v>10</v>
      </c>
      <c r="F156">
        <v>3</v>
      </c>
      <c r="G156" t="s">
        <v>34</v>
      </c>
      <c r="H156" s="2">
        <v>680000</v>
      </c>
      <c r="I156" s="2">
        <v>66000</v>
      </c>
      <c r="J156" s="2">
        <v>0</v>
      </c>
      <c r="K156" s="2">
        <f t="shared" si="11"/>
        <v>614000</v>
      </c>
    </row>
    <row r="157" spans="1:11" x14ac:dyDescent="0.25">
      <c r="A157" t="str" cm="1">
        <f t="array" ref="A157">_xlfn.XLOOKUP(1,(Contratos!$B$2:$B$2000=G157)*(D157&gt;=Contratos!$E$2:$E$2000)*(D157&lt;=Contratos!$F$2:$F$2000),Contratos!$A$2:$A$2000,"")</f>
        <v>1138e6b0-3b54-4f90-9461-f8f76393e615</v>
      </c>
      <c r="B157" s="2" t="s">
        <v>62</v>
      </c>
      <c r="C157" s="15">
        <v>2025</v>
      </c>
      <c r="D157" s="10">
        <v>45969</v>
      </c>
      <c r="E157" t="s">
        <v>10</v>
      </c>
      <c r="F157">
        <v>4</v>
      </c>
      <c r="G157" t="s">
        <v>25</v>
      </c>
      <c r="H157" s="2">
        <v>631200</v>
      </c>
      <c r="I157" s="2">
        <v>61120</v>
      </c>
      <c r="J157" s="2">
        <v>20000</v>
      </c>
      <c r="K157" s="2">
        <f t="shared" si="11"/>
        <v>550080</v>
      </c>
    </row>
    <row r="158" spans="1:11" x14ac:dyDescent="0.25">
      <c r="A158" t="str" cm="1">
        <f t="array" ref="A158">_xlfn.XLOOKUP(1,(Contratos!$B$2:$B$2000=G158)*(D158&gt;=Contratos!$E$2:$E$2000)*(D158&lt;=Contratos!$F$2:$F$2000),Contratos!$A$2:$A$2000,"")</f>
        <v>3dcc043e-cebd-4562-843a-73004bc5a5fb</v>
      </c>
      <c r="B158" s="2" t="s">
        <v>63</v>
      </c>
      <c r="C158" s="15">
        <v>2025</v>
      </c>
      <c r="D158" s="10">
        <v>46002</v>
      </c>
      <c r="E158" t="s">
        <v>7</v>
      </c>
      <c r="F158">
        <v>1</v>
      </c>
      <c r="G158" t="s">
        <v>12</v>
      </c>
      <c r="H158" s="2">
        <v>736400</v>
      </c>
      <c r="I158" s="2">
        <v>71640</v>
      </c>
      <c r="J158" s="2">
        <v>20000</v>
      </c>
      <c r="K158" s="2">
        <f>H158-SUM(I158:J158)</f>
        <v>644760</v>
      </c>
    </row>
    <row r="159" spans="1:11" x14ac:dyDescent="0.25">
      <c r="A159" t="str" cm="1">
        <f t="array" ref="A159">_xlfn.XLOOKUP(1,(Contratos!$B$2:$B$2000=G159)*(D159&gt;=Contratos!$E$2:$E$2000)*(D159&lt;=Contratos!$F$2:$F$2000),Contratos!$A$2:$A$2000,"")</f>
        <v>e39b3e8a-33b6-49ac-8fe8-f4ed22ad8b90</v>
      </c>
      <c r="B159" s="2" t="s">
        <v>63</v>
      </c>
      <c r="C159" s="15">
        <v>2025</v>
      </c>
      <c r="D159" s="10">
        <v>46002</v>
      </c>
      <c r="E159" t="s">
        <v>7</v>
      </c>
      <c r="F159">
        <v>2</v>
      </c>
      <c r="G159" t="s">
        <v>13</v>
      </c>
      <c r="H159" s="2">
        <v>662700</v>
      </c>
      <c r="I159" s="2">
        <v>64270</v>
      </c>
      <c r="J159" s="2">
        <v>20000</v>
      </c>
      <c r="K159" s="2">
        <f t="shared" ref="K159:K171" si="12">H159-SUM(I159:J159)</f>
        <v>578430</v>
      </c>
    </row>
    <row r="160" spans="1:11" x14ac:dyDescent="0.25">
      <c r="A160" t="str" cm="1">
        <f t="array" ref="A160">_xlfn.XLOOKUP(1,(Contratos!$B$2:$B$2000=G160)*(D160&gt;=Contratos!$E$2:$E$2000)*(D160&lt;=Contratos!$F$2:$F$2000),Contratos!$A$2:$A$2000,"")</f>
        <v>cac5cc64-81f9-466e-94ec-47be649d3deb</v>
      </c>
      <c r="B160" s="2" t="s">
        <v>63</v>
      </c>
      <c r="C160" s="15">
        <v>2025</v>
      </c>
      <c r="D160" s="10">
        <v>46002</v>
      </c>
      <c r="E160" t="s">
        <v>7</v>
      </c>
      <c r="F160">
        <v>3</v>
      </c>
      <c r="G160" t="s">
        <v>14</v>
      </c>
      <c r="H160" s="2">
        <v>631200</v>
      </c>
      <c r="I160" s="2">
        <v>63120</v>
      </c>
      <c r="J160" s="2">
        <v>0</v>
      </c>
      <c r="K160" s="2">
        <f t="shared" si="12"/>
        <v>568080</v>
      </c>
    </row>
    <row r="161" spans="1:11" x14ac:dyDescent="0.25">
      <c r="A161" t="str" cm="1">
        <f t="array" ref="A161">_xlfn.XLOOKUP(1,(Contratos!$B$2:$B$2000=G161)*(D161&gt;=Contratos!$E$2:$E$2000)*(D161&lt;=Contratos!$F$2:$F$2000),Contratos!$A$2:$A$2000,"")</f>
        <v>1f5eb474-0cc5-4f59-bde6-8b6fb39d4b29</v>
      </c>
      <c r="B161" s="2" t="s">
        <v>63</v>
      </c>
      <c r="C161" s="15">
        <v>2025</v>
      </c>
      <c r="D161" s="10">
        <v>46002</v>
      </c>
      <c r="E161" t="s">
        <v>8</v>
      </c>
      <c r="F161">
        <v>1</v>
      </c>
      <c r="G161" t="s">
        <v>31</v>
      </c>
      <c r="H161" s="2">
        <v>800000</v>
      </c>
      <c r="I161" s="2">
        <v>78000</v>
      </c>
      <c r="J161" s="2">
        <v>20000</v>
      </c>
      <c r="K161" s="2">
        <f t="shared" si="12"/>
        <v>702000</v>
      </c>
    </row>
    <row r="162" spans="1:11" x14ac:dyDescent="0.25">
      <c r="A162" t="str" cm="1">
        <f t="array" ref="A162">_xlfn.XLOOKUP(1,(Contratos!$B$2:$B$2000=G162)*(D162&gt;=Contratos!$E$2:$E$2000)*(D162&lt;=Contratos!$F$2:$F$2000),Contratos!$A$2:$A$2000,"")</f>
        <v/>
      </c>
      <c r="B162" s="2" t="s">
        <v>63</v>
      </c>
      <c r="C162" s="15">
        <v>2025</v>
      </c>
      <c r="D162" s="10">
        <v>46002</v>
      </c>
      <c r="E162" t="s">
        <v>8</v>
      </c>
      <c r="F162">
        <v>2</v>
      </c>
      <c r="H162" s="2">
        <v>0</v>
      </c>
      <c r="I162" s="2">
        <v>0</v>
      </c>
      <c r="J162" s="2">
        <v>0</v>
      </c>
      <c r="K162" s="2">
        <f t="shared" si="12"/>
        <v>0</v>
      </c>
    </row>
    <row r="163" spans="1:11" x14ac:dyDescent="0.25">
      <c r="A163" t="str" cm="1">
        <f t="array" ref="A163">_xlfn.XLOOKUP(1,(Contratos!$B$2:$B$2000=G163)*(D163&gt;=Contratos!$E$2:$E$2000)*(D163&lt;=Contratos!$F$2:$F$2000),Contratos!$A$2:$A$2000,"")</f>
        <v/>
      </c>
      <c r="B163" s="2" t="s">
        <v>63</v>
      </c>
      <c r="C163" s="15">
        <v>2025</v>
      </c>
      <c r="D163" s="10">
        <v>46002</v>
      </c>
      <c r="E163" t="s">
        <v>8</v>
      </c>
      <c r="F163">
        <v>3</v>
      </c>
      <c r="G163" t="s">
        <v>17</v>
      </c>
      <c r="H163" s="2">
        <v>632200</v>
      </c>
      <c r="I163" s="2">
        <v>61220</v>
      </c>
      <c r="J163" s="2">
        <v>20000</v>
      </c>
      <c r="K163" s="2">
        <f t="shared" si="12"/>
        <v>550980</v>
      </c>
    </row>
    <row r="164" spans="1:11" x14ac:dyDescent="0.25">
      <c r="A164" t="str" cm="1">
        <f t="array" ref="A164">_xlfn.XLOOKUP(1,(Contratos!$B$2:$B$2000=G164)*(D164&gt;=Contratos!$E$2:$E$2000)*(D164&lt;=Contratos!$F$2:$F$2000),Contratos!$A$2:$A$2000,"")</f>
        <v>02c61008-4e84-43c2-88b5-08e054eb6049</v>
      </c>
      <c r="B164" s="2" t="s">
        <v>63</v>
      </c>
      <c r="C164" s="15">
        <v>2025</v>
      </c>
      <c r="D164" s="10">
        <v>46002</v>
      </c>
      <c r="E164" t="s">
        <v>9</v>
      </c>
      <c r="F164">
        <v>1</v>
      </c>
      <c r="G164" t="s">
        <v>32</v>
      </c>
      <c r="H164" s="2">
        <v>850000</v>
      </c>
      <c r="I164" s="2">
        <v>83000</v>
      </c>
      <c r="J164" s="2">
        <v>20000</v>
      </c>
      <c r="K164" s="2">
        <f t="shared" si="12"/>
        <v>747000</v>
      </c>
    </row>
    <row r="165" spans="1:11" x14ac:dyDescent="0.25">
      <c r="A165" t="str" cm="1">
        <f t="array" ref="A165">_xlfn.XLOOKUP(1,(Contratos!$B$2:$B$2000=G165)*(D165&gt;=Contratos!$E$2:$E$2000)*(D165&lt;=Contratos!$F$2:$F$2000),Contratos!$A$2:$A$2000,"")</f>
        <v>359216a7-8ba9-4e24-8cac-7dc225c9d6e1</v>
      </c>
      <c r="B165" s="2" t="s">
        <v>63</v>
      </c>
      <c r="C165" s="15">
        <v>2025</v>
      </c>
      <c r="D165" s="10">
        <v>46002</v>
      </c>
      <c r="E165" t="s">
        <v>9</v>
      </c>
      <c r="F165">
        <v>2</v>
      </c>
      <c r="G165" t="s">
        <v>19</v>
      </c>
      <c r="H165" s="2">
        <v>803700</v>
      </c>
      <c r="I165" s="2">
        <v>78370</v>
      </c>
      <c r="J165" s="2">
        <v>20000</v>
      </c>
      <c r="K165" s="2">
        <f t="shared" si="12"/>
        <v>705330</v>
      </c>
    </row>
    <row r="166" spans="1:11" x14ac:dyDescent="0.25">
      <c r="A166" t="str" cm="1">
        <f t="array" ref="A166">_xlfn.XLOOKUP(1,(Contratos!$B$2:$B$2000=G166)*(D166&gt;=Contratos!$E$2:$E$2000)*(D166&lt;=Contratos!$F$2:$F$2000),Contratos!$A$2:$A$2000,"")</f>
        <v>7366f152-e5d2-44a3-8beb-4d85e5905cbc</v>
      </c>
      <c r="B166" s="2" t="s">
        <v>63</v>
      </c>
      <c r="C166" s="15">
        <v>2025</v>
      </c>
      <c r="D166" s="10">
        <v>46002</v>
      </c>
      <c r="E166" t="s">
        <v>9</v>
      </c>
      <c r="F166">
        <v>3</v>
      </c>
      <c r="G166" t="s">
        <v>35</v>
      </c>
      <c r="H166" s="2">
        <v>750000</v>
      </c>
      <c r="I166" s="2">
        <v>73000</v>
      </c>
      <c r="J166" s="2">
        <v>20000</v>
      </c>
      <c r="K166" s="2">
        <f t="shared" si="12"/>
        <v>657000</v>
      </c>
    </row>
    <row r="167" spans="1:11" x14ac:dyDescent="0.25">
      <c r="A167" t="str" cm="1">
        <f t="array" ref="A167">_xlfn.XLOOKUP(1,(Contratos!$B$2:$B$2000=G167)*(D167&gt;=Contratos!$E$2:$E$2000)*(D167&lt;=Contratos!$F$2:$F$2000),Contratos!$A$2:$A$2000,"")</f>
        <v>b934fcd1-5390-4b7c-b3bc-4a642a1d7f9e</v>
      </c>
      <c r="B167" s="2" t="s">
        <v>63</v>
      </c>
      <c r="C167" s="15">
        <v>2025</v>
      </c>
      <c r="D167" s="10">
        <v>46002</v>
      </c>
      <c r="E167" t="s">
        <v>9</v>
      </c>
      <c r="F167">
        <v>4</v>
      </c>
      <c r="G167" t="s">
        <v>33</v>
      </c>
      <c r="H167" s="2">
        <v>650000</v>
      </c>
      <c r="I167" s="2">
        <v>63000</v>
      </c>
      <c r="J167" s="2">
        <v>20000</v>
      </c>
      <c r="K167" s="2">
        <f t="shared" si="12"/>
        <v>567000</v>
      </c>
    </row>
    <row r="168" spans="1:11" x14ac:dyDescent="0.25">
      <c r="A168" t="str" cm="1">
        <f t="array" ref="A168">_xlfn.XLOOKUP(1,(Contratos!$B$2:$B$2000=G168)*(D168&gt;=Contratos!$E$2:$E$2000)*(D168&lt;=Contratos!$F$2:$F$2000),Contratos!$A$2:$A$2000,"")</f>
        <v>40f08409-f7a6-467c-8e53-1f5a9a143a9f</v>
      </c>
      <c r="B168" s="2" t="s">
        <v>63</v>
      </c>
      <c r="C168" s="15">
        <v>2025</v>
      </c>
      <c r="D168" s="10">
        <v>46002</v>
      </c>
      <c r="E168" t="s">
        <v>10</v>
      </c>
      <c r="F168">
        <v>1</v>
      </c>
      <c r="G168" t="s">
        <v>22</v>
      </c>
      <c r="H168" s="2">
        <v>673280</v>
      </c>
      <c r="I168" s="2">
        <v>65328</v>
      </c>
      <c r="J168" s="2">
        <v>20000</v>
      </c>
      <c r="K168" s="2">
        <f t="shared" si="12"/>
        <v>587952</v>
      </c>
    </row>
    <row r="169" spans="1:11" x14ac:dyDescent="0.25">
      <c r="A169" t="str" cm="1">
        <f t="array" ref="A169">_xlfn.XLOOKUP(1,(Contratos!$B$2:$B$2000=G169)*(D169&gt;=Contratos!$E$2:$E$2000)*(D169&lt;=Contratos!$F$2:$F$2000),Contratos!$A$2:$A$2000,"")</f>
        <v>10959edc-7e2c-4e4e-b5ee-d6bdac93ae9e</v>
      </c>
      <c r="B169" s="2" t="s">
        <v>63</v>
      </c>
      <c r="C169" s="15">
        <v>2025</v>
      </c>
      <c r="D169" s="10">
        <v>46002</v>
      </c>
      <c r="E169" t="s">
        <v>10</v>
      </c>
      <c r="F169">
        <v>2</v>
      </c>
      <c r="G169" t="s">
        <v>23</v>
      </c>
      <c r="H169" s="2">
        <v>704800</v>
      </c>
      <c r="I169" s="2">
        <v>68480</v>
      </c>
      <c r="J169" s="2">
        <v>20000</v>
      </c>
      <c r="K169" s="2">
        <f t="shared" si="12"/>
        <v>616320</v>
      </c>
    </row>
    <row r="170" spans="1:11" x14ac:dyDescent="0.25">
      <c r="A170" t="str" cm="1">
        <f t="array" ref="A170">_xlfn.XLOOKUP(1,(Contratos!$B$2:$B$2000=G170)*(D170&gt;=Contratos!$E$2:$E$2000)*(D170&lt;=Contratos!$F$2:$F$2000),Contratos!$A$2:$A$2000,"")</f>
        <v>2aaff763-f744-410b-9718-249c5a655998</v>
      </c>
      <c r="B170" s="2" t="s">
        <v>63</v>
      </c>
      <c r="C170" s="15">
        <v>2025</v>
      </c>
      <c r="D170" s="10">
        <v>46002</v>
      </c>
      <c r="E170" t="s">
        <v>10</v>
      </c>
      <c r="F170">
        <v>3</v>
      </c>
      <c r="G170" t="s">
        <v>34</v>
      </c>
      <c r="H170" s="2">
        <v>680000</v>
      </c>
      <c r="I170" s="2">
        <v>66000</v>
      </c>
      <c r="J170" s="2">
        <v>20000</v>
      </c>
      <c r="K170" s="2">
        <f t="shared" si="12"/>
        <v>594000</v>
      </c>
    </row>
    <row r="171" spans="1:11" x14ac:dyDescent="0.25">
      <c r="A171" t="str" cm="1">
        <f t="array" ref="A171">_xlfn.XLOOKUP(1,(Contratos!$B$2:$B$2000=G171)*(D171&gt;=Contratos!$E$2:$E$2000)*(D171&lt;=Contratos!$F$2:$F$2000),Contratos!$A$2:$A$2000,"")</f>
        <v>1138e6b0-3b54-4f90-9461-f8f76393e615</v>
      </c>
      <c r="B171" s="2" t="s">
        <v>63</v>
      </c>
      <c r="C171" s="15">
        <v>2025</v>
      </c>
      <c r="D171" s="10">
        <v>46002</v>
      </c>
      <c r="E171" t="s">
        <v>10</v>
      </c>
      <c r="F171">
        <v>4</v>
      </c>
      <c r="G171" t="s">
        <v>25</v>
      </c>
      <c r="H171" s="2">
        <v>631200</v>
      </c>
      <c r="I171" s="2">
        <v>61120</v>
      </c>
      <c r="J171" s="2">
        <v>20000</v>
      </c>
      <c r="K171" s="2">
        <f t="shared" si="12"/>
        <v>550080</v>
      </c>
    </row>
    <row r="172" spans="1:11" x14ac:dyDescent="0.25">
      <c r="A172" t="str" cm="1">
        <f t="array" ref="A172">_xlfn.XLOOKUP(1,(Contratos!$B$2:$B$2000=G172)*(D172&gt;=Contratos!$E$2:$E$2000)*(D172&lt;=Contratos!$F$2:$F$2000),Contratos!$A$2:$A$2000,"")</f>
        <v>3dcc043e-cebd-4562-843a-73004bc5a5fb</v>
      </c>
      <c r="B172" s="2" t="s">
        <v>52</v>
      </c>
      <c r="C172" s="15">
        <v>2025</v>
      </c>
      <c r="D172" s="10">
        <v>46031</v>
      </c>
      <c r="E172" t="s">
        <v>7</v>
      </c>
      <c r="F172">
        <v>1</v>
      </c>
      <c r="G172" t="s">
        <v>12</v>
      </c>
      <c r="H172" s="2">
        <v>736400</v>
      </c>
      <c r="I172" s="2">
        <v>71640</v>
      </c>
      <c r="J172" s="2">
        <v>20000</v>
      </c>
      <c r="K172" s="2">
        <f>H172-SUM(I172:J172)</f>
        <v>644760</v>
      </c>
    </row>
    <row r="173" spans="1:11" x14ac:dyDescent="0.25">
      <c r="A173" t="str" cm="1">
        <f t="array" ref="A173">_xlfn.XLOOKUP(1,(Contratos!$B$2:$B$2000=G173)*(D173&gt;=Contratos!$E$2:$E$2000)*(D173&lt;=Contratos!$F$2:$F$2000),Contratos!$A$2:$A$2000,"")</f>
        <v>e39b3e8a-33b6-49ac-8fe8-f4ed22ad8b90</v>
      </c>
      <c r="B173" s="2" t="s">
        <v>52</v>
      </c>
      <c r="C173" s="15">
        <v>2025</v>
      </c>
      <c r="D173" s="10">
        <v>46031</v>
      </c>
      <c r="E173" t="s">
        <v>7</v>
      </c>
      <c r="F173">
        <v>2</v>
      </c>
      <c r="G173" t="s">
        <v>13</v>
      </c>
      <c r="H173" s="2">
        <v>662700</v>
      </c>
      <c r="I173" s="2">
        <v>64270</v>
      </c>
      <c r="J173" s="2">
        <v>20000</v>
      </c>
      <c r="K173" s="2">
        <f t="shared" ref="K173:K185" si="13">H173-SUM(I173:J173)</f>
        <v>578430</v>
      </c>
    </row>
    <row r="174" spans="1:11" x14ac:dyDescent="0.25">
      <c r="A174" t="str" cm="1">
        <f t="array" ref="A174">_xlfn.XLOOKUP(1,(Contratos!$B$2:$B$2000=G174)*(D174&gt;=Contratos!$E$2:$E$2000)*(D174&lt;=Contratos!$F$2:$F$2000),Contratos!$A$2:$A$2000,"")</f>
        <v>cac5cc64-81f9-466e-94ec-47be649d3deb</v>
      </c>
      <c r="B174" s="2" t="s">
        <v>52</v>
      </c>
      <c r="C174" s="15">
        <v>2025</v>
      </c>
      <c r="D174" s="10">
        <v>46031</v>
      </c>
      <c r="E174" t="s">
        <v>7</v>
      </c>
      <c r="F174">
        <v>3</v>
      </c>
      <c r="G174" t="s">
        <v>14</v>
      </c>
      <c r="H174" s="2">
        <v>631200</v>
      </c>
      <c r="I174" s="2">
        <v>63120</v>
      </c>
      <c r="J174" s="2">
        <v>0</v>
      </c>
      <c r="K174" s="2">
        <f t="shared" si="13"/>
        <v>568080</v>
      </c>
    </row>
    <row r="175" spans="1:11" x14ac:dyDescent="0.25">
      <c r="A175" t="str" cm="1">
        <f t="array" ref="A175">_xlfn.XLOOKUP(1,(Contratos!$B$2:$B$2000=G175)*(D175&gt;=Contratos!$E$2:$E$2000)*(D175&lt;=Contratos!$F$2:$F$2000),Contratos!$A$2:$A$2000,"")</f>
        <v>1f5eb474-0cc5-4f59-bde6-8b6fb39d4b29</v>
      </c>
      <c r="B175" s="2" t="s">
        <v>52</v>
      </c>
      <c r="C175" s="15">
        <v>2025</v>
      </c>
      <c r="D175" s="10">
        <v>46031</v>
      </c>
      <c r="E175" t="s">
        <v>8</v>
      </c>
      <c r="F175">
        <v>1</v>
      </c>
      <c r="G175" t="s">
        <v>31</v>
      </c>
      <c r="H175" s="2">
        <v>800000</v>
      </c>
      <c r="I175" s="2">
        <v>78000</v>
      </c>
      <c r="J175" s="2">
        <v>20000</v>
      </c>
      <c r="K175" s="2">
        <f t="shared" si="13"/>
        <v>702000</v>
      </c>
    </row>
    <row r="176" spans="1:11" x14ac:dyDescent="0.25">
      <c r="A176" t="str" cm="1">
        <f t="array" ref="A176">_xlfn.XLOOKUP(1,(Contratos!$B$2:$B$2000=G176)*(D176&gt;=Contratos!$E$2:$E$2000)*(D176&lt;=Contratos!$F$2:$F$2000),Contratos!$A$2:$A$2000,"")</f>
        <v>4d99141d-777f-42b8-9171-236b233bb4bf</v>
      </c>
      <c r="B176" s="2" t="s">
        <v>52</v>
      </c>
      <c r="C176" s="15">
        <v>2025</v>
      </c>
      <c r="D176" s="10">
        <v>46031</v>
      </c>
      <c r="E176" t="s">
        <v>8</v>
      </c>
      <c r="F176">
        <v>2</v>
      </c>
      <c r="G176" t="s">
        <v>36</v>
      </c>
      <c r="H176" s="2">
        <v>720000</v>
      </c>
      <c r="I176" s="2">
        <v>70000</v>
      </c>
      <c r="J176" s="2">
        <v>20000</v>
      </c>
      <c r="K176" s="2">
        <f t="shared" si="13"/>
        <v>630000</v>
      </c>
    </row>
    <row r="177" spans="1:11" x14ac:dyDescent="0.25">
      <c r="A177" t="str" cm="1">
        <f t="array" ref="A177">_xlfn.XLOOKUP(1,(Contratos!$B$2:$B$2000=G177)*(D177&gt;=Contratos!$E$2:$E$2000)*(D177&lt;=Contratos!$F$2:$F$2000),Contratos!$A$2:$A$2000,"")</f>
        <v/>
      </c>
      <c r="B177" s="2" t="s">
        <v>52</v>
      </c>
      <c r="C177" s="15">
        <v>2025</v>
      </c>
      <c r="D177" s="10">
        <v>46031</v>
      </c>
      <c r="E177" t="s">
        <v>8</v>
      </c>
      <c r="F177">
        <v>3</v>
      </c>
      <c r="G177" t="s">
        <v>17</v>
      </c>
      <c r="H177" s="2">
        <v>632200</v>
      </c>
      <c r="I177" s="2">
        <v>61220</v>
      </c>
      <c r="J177" s="2">
        <v>20000</v>
      </c>
      <c r="K177" s="2">
        <f t="shared" si="13"/>
        <v>550980</v>
      </c>
    </row>
    <row r="178" spans="1:11" x14ac:dyDescent="0.25">
      <c r="A178" t="str" cm="1">
        <f t="array" ref="A178">_xlfn.XLOOKUP(1,(Contratos!$B$2:$B$2000=G178)*(D178&gt;=Contratos!$E$2:$E$2000)*(D178&lt;=Contratos!$F$2:$F$2000),Contratos!$A$2:$A$2000,"")</f>
        <v>02c61008-4e84-43c2-88b5-08e054eb6049</v>
      </c>
      <c r="B178" s="2" t="s">
        <v>52</v>
      </c>
      <c r="C178" s="15">
        <v>2025</v>
      </c>
      <c r="D178" s="10">
        <v>46031</v>
      </c>
      <c r="E178" t="s">
        <v>9</v>
      </c>
      <c r="F178">
        <v>1</v>
      </c>
      <c r="G178" t="s">
        <v>32</v>
      </c>
      <c r="H178" s="2">
        <v>850000</v>
      </c>
      <c r="I178" s="2">
        <v>83000</v>
      </c>
      <c r="J178" s="2">
        <v>20000</v>
      </c>
      <c r="K178" s="2">
        <f t="shared" si="13"/>
        <v>747000</v>
      </c>
    </row>
    <row r="179" spans="1:11" x14ac:dyDescent="0.25">
      <c r="A179" t="str" cm="1">
        <f t="array" ref="A179">_xlfn.XLOOKUP(1,(Contratos!$B$2:$B$2000=G179)*(D179&gt;=Contratos!$E$2:$E$2000)*(D179&lt;=Contratos!$F$2:$F$2000),Contratos!$A$2:$A$2000,"")</f>
        <v>359216a7-8ba9-4e24-8cac-7dc225c9d6e1</v>
      </c>
      <c r="B179" s="2" t="s">
        <v>52</v>
      </c>
      <c r="C179" s="15">
        <v>2025</v>
      </c>
      <c r="D179" s="10">
        <v>46031</v>
      </c>
      <c r="E179" t="s">
        <v>9</v>
      </c>
      <c r="F179">
        <v>2</v>
      </c>
      <c r="G179" t="s">
        <v>19</v>
      </c>
      <c r="H179" s="2">
        <v>803700</v>
      </c>
      <c r="I179" s="2">
        <v>78370</v>
      </c>
      <c r="J179" s="2">
        <v>20000</v>
      </c>
      <c r="K179" s="2">
        <f t="shared" si="13"/>
        <v>705330</v>
      </c>
    </row>
    <row r="180" spans="1:11" x14ac:dyDescent="0.25">
      <c r="A180" t="str" cm="1">
        <f t="array" ref="A180">_xlfn.XLOOKUP(1,(Contratos!$B$2:$B$2000=G180)*(D180&gt;=Contratos!$E$2:$E$2000)*(D180&lt;=Contratos!$F$2:$F$2000),Contratos!$A$2:$A$2000,"")</f>
        <v>7366f152-e5d2-44a3-8beb-4d85e5905cbc</v>
      </c>
      <c r="B180" s="2" t="s">
        <v>52</v>
      </c>
      <c r="C180" s="15">
        <v>2025</v>
      </c>
      <c r="D180" s="10">
        <v>46031</v>
      </c>
      <c r="E180" t="s">
        <v>9</v>
      </c>
      <c r="F180">
        <v>3</v>
      </c>
      <c r="G180" t="s">
        <v>35</v>
      </c>
      <c r="H180" s="2">
        <v>750000</v>
      </c>
      <c r="I180" s="2">
        <v>73000</v>
      </c>
      <c r="J180" s="2">
        <v>20000</v>
      </c>
      <c r="K180" s="2">
        <f t="shared" si="13"/>
        <v>657000</v>
      </c>
    </row>
    <row r="181" spans="1:11" x14ac:dyDescent="0.25">
      <c r="A181" t="str" cm="1">
        <f t="array" ref="A181">_xlfn.XLOOKUP(1,(Contratos!$B$2:$B$2000=G181)*(D181&gt;=Contratos!$E$2:$E$2000)*(D181&lt;=Contratos!$F$2:$F$2000),Contratos!$A$2:$A$2000,"")</f>
        <v>b934fcd1-5390-4b7c-b3bc-4a642a1d7f9e</v>
      </c>
      <c r="B181" s="2" t="s">
        <v>52</v>
      </c>
      <c r="C181" s="15">
        <v>2025</v>
      </c>
      <c r="D181" s="10">
        <v>46031</v>
      </c>
      <c r="E181" t="s">
        <v>9</v>
      </c>
      <c r="F181">
        <v>4</v>
      </c>
      <c r="G181" t="s">
        <v>33</v>
      </c>
      <c r="H181" s="2">
        <v>650000</v>
      </c>
      <c r="I181" s="2">
        <v>63000</v>
      </c>
      <c r="J181" s="2">
        <v>20000</v>
      </c>
      <c r="K181" s="2">
        <f t="shared" si="13"/>
        <v>567000</v>
      </c>
    </row>
    <row r="182" spans="1:11" x14ac:dyDescent="0.25">
      <c r="A182" t="str" cm="1">
        <f t="array" ref="A182">_xlfn.XLOOKUP(1,(Contratos!$B$2:$B$2000=G182)*(D182&gt;=Contratos!$E$2:$E$2000)*(D182&lt;=Contratos!$F$2:$F$2000),Contratos!$A$2:$A$2000,"")</f>
        <v>40f08409-f7a6-467c-8e53-1f5a9a143a9f</v>
      </c>
      <c r="B182" s="2" t="s">
        <v>52</v>
      </c>
      <c r="C182" s="15">
        <v>2025</v>
      </c>
      <c r="D182" s="10">
        <v>46031</v>
      </c>
      <c r="E182" t="s">
        <v>10</v>
      </c>
      <c r="F182">
        <v>1</v>
      </c>
      <c r="G182" t="s">
        <v>22</v>
      </c>
      <c r="H182" s="2">
        <v>694320</v>
      </c>
      <c r="I182" s="2">
        <v>67432</v>
      </c>
      <c r="J182" s="2">
        <v>20000</v>
      </c>
      <c r="K182" s="2">
        <f t="shared" si="13"/>
        <v>606888</v>
      </c>
    </row>
    <row r="183" spans="1:11" x14ac:dyDescent="0.25">
      <c r="A183" t="str" cm="1">
        <f t="array" ref="A183">_xlfn.XLOOKUP(1,(Contratos!$B$2:$B$2000=G183)*(D183&gt;=Contratos!$E$2:$E$2000)*(D183&lt;=Contratos!$F$2:$F$2000),Contratos!$A$2:$A$2000,"")</f>
        <v>10959edc-7e2c-4e4e-b5ee-d6bdac93ae9e</v>
      </c>
      <c r="B183" s="2" t="s">
        <v>52</v>
      </c>
      <c r="C183" s="15">
        <v>2025</v>
      </c>
      <c r="D183" s="10">
        <v>46031</v>
      </c>
      <c r="E183" t="s">
        <v>10</v>
      </c>
      <c r="F183">
        <v>2</v>
      </c>
      <c r="G183" t="s">
        <v>23</v>
      </c>
      <c r="H183" s="2">
        <v>704800</v>
      </c>
      <c r="I183" s="2">
        <v>68480</v>
      </c>
      <c r="J183" s="2">
        <v>20000</v>
      </c>
      <c r="K183" s="2">
        <f t="shared" si="13"/>
        <v>616320</v>
      </c>
    </row>
    <row r="184" spans="1:11" x14ac:dyDescent="0.25">
      <c r="A184" t="str" cm="1">
        <f t="array" ref="A184">_xlfn.XLOOKUP(1,(Contratos!$B$2:$B$2000=G184)*(D184&gt;=Contratos!$E$2:$E$2000)*(D184&lt;=Contratos!$F$2:$F$2000),Contratos!$A$2:$A$2000,"")</f>
        <v>2aaff763-f744-410b-9718-249c5a655998</v>
      </c>
      <c r="B184" s="2" t="s">
        <v>52</v>
      </c>
      <c r="C184" s="15">
        <v>2025</v>
      </c>
      <c r="D184" s="10">
        <v>46031</v>
      </c>
      <c r="E184" t="s">
        <v>10</v>
      </c>
      <c r="F184">
        <v>3</v>
      </c>
      <c r="G184" t="s">
        <v>34</v>
      </c>
      <c r="H184" s="2">
        <v>680000</v>
      </c>
      <c r="I184" s="2">
        <v>66000</v>
      </c>
      <c r="J184" s="2">
        <v>20000</v>
      </c>
      <c r="K184" s="2">
        <f t="shared" si="13"/>
        <v>594000</v>
      </c>
    </row>
    <row r="185" spans="1:11" x14ac:dyDescent="0.25">
      <c r="A185" t="str" cm="1">
        <f t="array" ref="A185">_xlfn.XLOOKUP(1,(Contratos!$B$2:$B$2000=G185)*(D185&gt;=Contratos!$E$2:$E$2000)*(D185&lt;=Contratos!$F$2:$F$2000),Contratos!$A$2:$A$2000,"")</f>
        <v>1138e6b0-3b54-4f90-9461-f8f76393e615</v>
      </c>
      <c r="B185" s="2" t="s">
        <v>52</v>
      </c>
      <c r="C185" s="15">
        <v>2025</v>
      </c>
      <c r="D185" s="12">
        <v>46031</v>
      </c>
      <c r="E185" t="s">
        <v>10</v>
      </c>
      <c r="F185">
        <v>4</v>
      </c>
      <c r="G185" t="s">
        <v>25</v>
      </c>
      <c r="H185" s="2">
        <v>631200</v>
      </c>
      <c r="I185" s="2">
        <v>61120</v>
      </c>
      <c r="J185" s="2">
        <v>20000</v>
      </c>
      <c r="K185" s="2">
        <f t="shared" si="13"/>
        <v>550080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F62FC-3CE6-43D4-B164-4BD8E709E364}">
  <dimension ref="A1:G56"/>
  <sheetViews>
    <sheetView zoomScaleNormal="100" workbookViewId="0">
      <selection activeCell="A7" sqref="A7"/>
    </sheetView>
  </sheetViews>
  <sheetFormatPr baseColWidth="10" defaultRowHeight="15" x14ac:dyDescent="0.25"/>
  <cols>
    <col min="1" max="1" width="38.28515625" bestFit="1" customWidth="1"/>
    <col min="2" max="2" width="20.85546875" bestFit="1" customWidth="1"/>
    <col min="3" max="3" width="17.28515625" bestFit="1" customWidth="1"/>
    <col min="4" max="4" width="4.85546875" bestFit="1" customWidth="1"/>
    <col min="5" max="5" width="23.140625" bestFit="1" customWidth="1"/>
  </cols>
  <sheetData>
    <row r="1" spans="1:7" x14ac:dyDescent="0.25">
      <c r="A1" t="s">
        <v>48</v>
      </c>
      <c r="B1" t="s">
        <v>37</v>
      </c>
      <c r="C1" t="s">
        <v>41</v>
      </c>
      <c r="D1" t="s">
        <v>42</v>
      </c>
      <c r="E1" t="s">
        <v>38</v>
      </c>
      <c r="F1" t="s">
        <v>39</v>
      </c>
      <c r="G1" t="s">
        <v>40</v>
      </c>
    </row>
    <row r="2" spans="1:7" x14ac:dyDescent="0.25">
      <c r="A2" t="s">
        <v>64</v>
      </c>
      <c r="B2" t="s">
        <v>12</v>
      </c>
      <c r="C2" t="s">
        <v>7</v>
      </c>
      <c r="D2">
        <v>1</v>
      </c>
      <c r="E2" s="3">
        <v>45545</v>
      </c>
      <c r="F2" s="3">
        <f>DATE(YEAR(E2),MONTH(E2)+6,DAY(E2))</f>
        <v>45726</v>
      </c>
      <c r="G2" t="b">
        <v>0</v>
      </c>
    </row>
    <row r="3" spans="1:7" x14ac:dyDescent="0.25">
      <c r="A3" t="s">
        <v>65</v>
      </c>
      <c r="B3" t="s">
        <v>12</v>
      </c>
      <c r="C3" t="s">
        <v>7</v>
      </c>
      <c r="D3">
        <v>1</v>
      </c>
      <c r="E3" s="3">
        <v>45737</v>
      </c>
      <c r="F3" s="3">
        <f>DATE(YEAR(E3),MONTH(E3)+6,DAY(E3))</f>
        <v>45921</v>
      </c>
      <c r="G3" t="b">
        <v>0</v>
      </c>
    </row>
    <row r="4" spans="1:7" x14ac:dyDescent="0.25">
      <c r="A4" t="s">
        <v>66</v>
      </c>
      <c r="B4" t="s">
        <v>12</v>
      </c>
      <c r="C4" t="s">
        <v>7</v>
      </c>
      <c r="D4">
        <v>1</v>
      </c>
      <c r="E4" s="3">
        <v>45921</v>
      </c>
      <c r="F4" s="3">
        <f>DATE(YEAR(E4),MONTH(E4)+6,DAY(E4))</f>
        <v>46102</v>
      </c>
      <c r="G4" t="b">
        <v>1</v>
      </c>
    </row>
    <row r="5" spans="1:7" x14ac:dyDescent="0.25">
      <c r="A5" t="s">
        <v>67</v>
      </c>
      <c r="B5" t="s">
        <v>20</v>
      </c>
      <c r="C5" t="s">
        <v>9</v>
      </c>
      <c r="D5">
        <v>3</v>
      </c>
      <c r="E5" s="3">
        <v>45604</v>
      </c>
      <c r="F5" s="3">
        <f>DATE(YEAR(E5),MONTH(E5)+6,DAY(E5))</f>
        <v>45785</v>
      </c>
      <c r="G5" t="b">
        <v>0</v>
      </c>
    </row>
    <row r="6" spans="1:7" x14ac:dyDescent="0.25">
      <c r="A6" t="s">
        <v>68</v>
      </c>
      <c r="B6" t="s">
        <v>19</v>
      </c>
      <c r="C6" t="s">
        <v>9</v>
      </c>
      <c r="D6">
        <v>2</v>
      </c>
      <c r="E6" s="3">
        <v>45136</v>
      </c>
      <c r="F6" s="3">
        <f>DATE(YEAR(E6),MONTH(E6)+6,DAY(E6))</f>
        <v>45320</v>
      </c>
      <c r="G6" t="b">
        <v>0</v>
      </c>
    </row>
    <row r="7" spans="1:7" x14ac:dyDescent="0.25">
      <c r="A7" t="s">
        <v>69</v>
      </c>
      <c r="B7" t="s">
        <v>19</v>
      </c>
      <c r="C7" t="s">
        <v>9</v>
      </c>
      <c r="D7">
        <v>2</v>
      </c>
      <c r="E7" s="3">
        <v>45320</v>
      </c>
      <c r="F7" s="3">
        <f>DATE(YEAR(E7),MONTH(E7)+6,DAY(E7))</f>
        <v>45502</v>
      </c>
      <c r="G7" t="b">
        <v>0</v>
      </c>
    </row>
    <row r="8" spans="1:7" x14ac:dyDescent="0.25">
      <c r="A8" t="s">
        <v>70</v>
      </c>
      <c r="B8" t="s">
        <v>19</v>
      </c>
      <c r="C8" t="s">
        <v>9</v>
      </c>
      <c r="D8">
        <v>2</v>
      </c>
      <c r="E8" s="3">
        <v>45502</v>
      </c>
      <c r="F8" s="3">
        <f>DATE(YEAR(E8),MONTH(E8)+6,DAY(E8))</f>
        <v>45686</v>
      </c>
      <c r="G8" t="b">
        <v>0</v>
      </c>
    </row>
    <row r="9" spans="1:7" x14ac:dyDescent="0.25">
      <c r="A9" t="s">
        <v>71</v>
      </c>
      <c r="B9" t="s">
        <v>19</v>
      </c>
      <c r="C9" t="s">
        <v>9</v>
      </c>
      <c r="D9">
        <v>2</v>
      </c>
      <c r="E9" s="3">
        <v>45686</v>
      </c>
      <c r="F9" s="3">
        <f>DATE(YEAR(E9),MONTH(E9)+6,DAY(E9))</f>
        <v>45867</v>
      </c>
      <c r="G9" t="b">
        <v>0</v>
      </c>
    </row>
    <row r="10" spans="1:7" x14ac:dyDescent="0.25">
      <c r="A10" t="s">
        <v>72</v>
      </c>
      <c r="B10" t="s">
        <v>19</v>
      </c>
      <c r="C10" t="s">
        <v>9</v>
      </c>
      <c r="D10">
        <v>2</v>
      </c>
      <c r="E10" s="3">
        <v>45867</v>
      </c>
      <c r="F10" s="3">
        <f>DATE(YEAR(E10),MONTH(E10)+6,DAY(E10))</f>
        <v>46051</v>
      </c>
      <c r="G10" t="b">
        <v>1</v>
      </c>
    </row>
    <row r="11" spans="1:7" x14ac:dyDescent="0.25">
      <c r="A11" t="s">
        <v>73</v>
      </c>
      <c r="B11" t="s">
        <v>24</v>
      </c>
      <c r="C11" t="s">
        <v>10</v>
      </c>
      <c r="D11">
        <v>3</v>
      </c>
      <c r="E11" s="3">
        <v>45505</v>
      </c>
      <c r="F11" s="3">
        <f>DATE(YEAR(E11),MONTH(E11)+6,DAY(E11))</f>
        <v>45689</v>
      </c>
      <c r="G11" t="b">
        <v>0</v>
      </c>
    </row>
    <row r="12" spans="1:7" x14ac:dyDescent="0.25">
      <c r="A12" t="s">
        <v>74</v>
      </c>
      <c r="B12" t="s">
        <v>25</v>
      </c>
      <c r="C12" t="s">
        <v>10</v>
      </c>
      <c r="D12">
        <v>4</v>
      </c>
      <c r="E12" s="3">
        <v>45539</v>
      </c>
      <c r="F12" s="3">
        <f>DATE(YEAR(E12),MONTH(E12)+6,DAY(E12))</f>
        <v>45720</v>
      </c>
      <c r="G12" t="b">
        <v>0</v>
      </c>
    </row>
    <row r="13" spans="1:7" x14ac:dyDescent="0.25">
      <c r="A13" t="s">
        <v>75</v>
      </c>
      <c r="B13" t="s">
        <v>25</v>
      </c>
      <c r="C13" t="s">
        <v>10</v>
      </c>
      <c r="D13">
        <v>4</v>
      </c>
      <c r="E13" s="3">
        <v>45720</v>
      </c>
      <c r="F13" s="3">
        <f>DATE(YEAR(E13),MONTH(E13)+6,DAY(E13))</f>
        <v>45904</v>
      </c>
      <c r="G13" t="b">
        <v>0</v>
      </c>
    </row>
    <row r="14" spans="1:7" x14ac:dyDescent="0.25">
      <c r="A14" t="s">
        <v>76</v>
      </c>
      <c r="B14" t="s">
        <v>25</v>
      </c>
      <c r="C14" t="s">
        <v>10</v>
      </c>
      <c r="D14">
        <v>4</v>
      </c>
      <c r="E14" s="3">
        <v>45904</v>
      </c>
      <c r="F14" s="3">
        <f>DATE(YEAR(E14),MONTH(E14)+6,DAY(E14))</f>
        <v>46085</v>
      </c>
      <c r="G14" t="b">
        <v>1</v>
      </c>
    </row>
    <row r="15" spans="1:7" x14ac:dyDescent="0.25">
      <c r="A15" t="s">
        <v>77</v>
      </c>
      <c r="B15" t="s">
        <v>36</v>
      </c>
      <c r="C15" t="s">
        <v>8</v>
      </c>
      <c r="D15">
        <v>2</v>
      </c>
      <c r="E15" s="3">
        <v>45997</v>
      </c>
      <c r="F15" s="3">
        <f>DATE(YEAR(E15),MONTH(E15)+6,DAY(E15))</f>
        <v>46179</v>
      </c>
      <c r="G15" t="b">
        <v>1</v>
      </c>
    </row>
    <row r="16" spans="1:7" x14ac:dyDescent="0.25">
      <c r="A16" t="s">
        <v>78</v>
      </c>
      <c r="B16" t="s">
        <v>34</v>
      </c>
      <c r="C16" t="s">
        <v>10</v>
      </c>
      <c r="D16">
        <v>3</v>
      </c>
      <c r="E16" s="3">
        <v>45930</v>
      </c>
      <c r="F16" s="3">
        <f>DATE(YEAR(E16),MONTH(E16)+6,DAY(E16))</f>
        <v>46111</v>
      </c>
      <c r="G16" t="b">
        <v>1</v>
      </c>
    </row>
    <row r="17" spans="1:7" x14ac:dyDescent="0.25">
      <c r="A17" t="s">
        <v>79</v>
      </c>
      <c r="B17" t="s">
        <v>14</v>
      </c>
      <c r="C17" t="s">
        <v>7</v>
      </c>
      <c r="D17">
        <v>3</v>
      </c>
      <c r="E17" s="3">
        <v>43594</v>
      </c>
      <c r="F17" s="3">
        <f>DATE(YEAR(E17),MONTH(E17)+6,DAY(E17))</f>
        <v>43778</v>
      </c>
      <c r="G17" t="b">
        <v>0</v>
      </c>
    </row>
    <row r="18" spans="1:7" x14ac:dyDescent="0.25">
      <c r="A18" t="s">
        <v>80</v>
      </c>
      <c r="B18" t="s">
        <v>14</v>
      </c>
      <c r="C18" t="s">
        <v>7</v>
      </c>
      <c r="D18">
        <v>3</v>
      </c>
      <c r="E18" s="3">
        <v>43778</v>
      </c>
      <c r="F18" s="3">
        <f>DATE(YEAR(E18),MONTH(E18)+6,DAY(E18))</f>
        <v>43960</v>
      </c>
      <c r="G18" t="b">
        <v>0</v>
      </c>
    </row>
    <row r="19" spans="1:7" x14ac:dyDescent="0.25">
      <c r="A19" t="s">
        <v>81</v>
      </c>
      <c r="B19" t="s">
        <v>14</v>
      </c>
      <c r="C19" t="s">
        <v>7</v>
      </c>
      <c r="D19">
        <v>3</v>
      </c>
      <c r="E19" s="3">
        <v>43960</v>
      </c>
      <c r="F19" s="3">
        <f>DATE(YEAR(E19),MONTH(E19)+6,DAY(E19))</f>
        <v>44144</v>
      </c>
      <c r="G19" t="b">
        <v>0</v>
      </c>
    </row>
    <row r="20" spans="1:7" x14ac:dyDescent="0.25">
      <c r="A20" t="s">
        <v>82</v>
      </c>
      <c r="B20" t="s">
        <v>14</v>
      </c>
      <c r="C20" t="s">
        <v>7</v>
      </c>
      <c r="D20">
        <v>3</v>
      </c>
      <c r="E20" s="3">
        <v>44144</v>
      </c>
      <c r="F20" s="3">
        <f>DATE(YEAR(E20),MONTH(E20)+6,DAY(E20))</f>
        <v>44325</v>
      </c>
      <c r="G20" t="b">
        <v>0</v>
      </c>
    </row>
    <row r="21" spans="1:7" x14ac:dyDescent="0.25">
      <c r="A21" t="s">
        <v>83</v>
      </c>
      <c r="B21" t="s">
        <v>14</v>
      </c>
      <c r="C21" t="s">
        <v>7</v>
      </c>
      <c r="D21">
        <v>3</v>
      </c>
      <c r="E21" s="3">
        <v>44325</v>
      </c>
      <c r="F21" s="3">
        <f>DATE(YEAR(E21),MONTH(E21)+6,DAY(E21))</f>
        <v>44509</v>
      </c>
      <c r="G21" t="b">
        <v>0</v>
      </c>
    </row>
    <row r="22" spans="1:7" x14ac:dyDescent="0.25">
      <c r="A22" t="s">
        <v>84</v>
      </c>
      <c r="B22" t="s">
        <v>14</v>
      </c>
      <c r="C22" t="s">
        <v>7</v>
      </c>
      <c r="D22">
        <v>3</v>
      </c>
      <c r="E22" s="3">
        <v>44509</v>
      </c>
      <c r="F22" s="3">
        <f>DATE(YEAR(E22),MONTH(E22)+6,DAY(E22))</f>
        <v>44690</v>
      </c>
      <c r="G22" t="b">
        <v>0</v>
      </c>
    </row>
    <row r="23" spans="1:7" x14ac:dyDescent="0.25">
      <c r="A23" t="s">
        <v>85</v>
      </c>
      <c r="B23" t="s">
        <v>14</v>
      </c>
      <c r="C23" t="s">
        <v>7</v>
      </c>
      <c r="D23">
        <v>3</v>
      </c>
      <c r="E23" s="3">
        <v>44690</v>
      </c>
      <c r="F23" s="3">
        <f>DATE(YEAR(E23),MONTH(E23)+6,DAY(E23))</f>
        <v>44874</v>
      </c>
      <c r="G23" t="b">
        <v>0</v>
      </c>
    </row>
    <row r="24" spans="1:7" x14ac:dyDescent="0.25">
      <c r="A24" t="s">
        <v>86</v>
      </c>
      <c r="B24" t="s">
        <v>14</v>
      </c>
      <c r="C24" t="s">
        <v>7</v>
      </c>
      <c r="D24">
        <v>3</v>
      </c>
      <c r="E24" s="3">
        <v>44874</v>
      </c>
      <c r="F24" s="3">
        <f>DATE(YEAR(E24),MONTH(E24)+6,DAY(E24))</f>
        <v>45055</v>
      </c>
      <c r="G24" t="b">
        <v>0</v>
      </c>
    </row>
    <row r="25" spans="1:7" x14ac:dyDescent="0.25">
      <c r="A25" t="s">
        <v>87</v>
      </c>
      <c r="B25" t="s">
        <v>14</v>
      </c>
      <c r="C25" t="s">
        <v>7</v>
      </c>
      <c r="D25">
        <v>3</v>
      </c>
      <c r="E25" s="3">
        <v>45055</v>
      </c>
      <c r="F25" s="3">
        <f>DATE(YEAR(E25),MONTH(E25)+6,DAY(E25))</f>
        <v>45239</v>
      </c>
      <c r="G25" t="b">
        <v>0</v>
      </c>
    </row>
    <row r="26" spans="1:7" x14ac:dyDescent="0.25">
      <c r="A26" t="s">
        <v>88</v>
      </c>
      <c r="B26" t="s">
        <v>14</v>
      </c>
      <c r="C26" t="s">
        <v>7</v>
      </c>
      <c r="D26">
        <v>3</v>
      </c>
      <c r="E26" s="3">
        <v>45239</v>
      </c>
      <c r="F26" s="3">
        <f>DATE(YEAR(E26),MONTH(E26)+6,DAY(E26))</f>
        <v>45421</v>
      </c>
      <c r="G26" t="b">
        <v>0</v>
      </c>
    </row>
    <row r="27" spans="1:7" x14ac:dyDescent="0.25">
      <c r="A27" t="s">
        <v>89</v>
      </c>
      <c r="B27" t="s">
        <v>14</v>
      </c>
      <c r="C27" t="s">
        <v>7</v>
      </c>
      <c r="D27">
        <v>3</v>
      </c>
      <c r="E27" s="3">
        <v>45421</v>
      </c>
      <c r="F27" s="3">
        <f>DATE(YEAR(E27),MONTH(E27)+6,DAY(E27))</f>
        <v>45605</v>
      </c>
      <c r="G27" t="b">
        <v>0</v>
      </c>
    </row>
    <row r="28" spans="1:7" x14ac:dyDescent="0.25">
      <c r="A28" t="s">
        <v>90</v>
      </c>
      <c r="B28" t="s">
        <v>14</v>
      </c>
      <c r="C28" t="s">
        <v>7</v>
      </c>
      <c r="D28">
        <v>3</v>
      </c>
      <c r="E28" s="3">
        <v>45605</v>
      </c>
      <c r="F28" s="3">
        <f>DATE(YEAR(E28),MONTH(E28)+6,DAY(E28))</f>
        <v>45786</v>
      </c>
      <c r="G28" t="b">
        <v>0</v>
      </c>
    </row>
    <row r="29" spans="1:7" x14ac:dyDescent="0.25">
      <c r="A29" t="s">
        <v>91</v>
      </c>
      <c r="B29" t="s">
        <v>14</v>
      </c>
      <c r="C29" t="s">
        <v>7</v>
      </c>
      <c r="D29">
        <v>3</v>
      </c>
      <c r="E29" s="3">
        <v>45786</v>
      </c>
      <c r="F29" s="3">
        <f>DATE(YEAR(E29),MONTH(E29)+6,DAY(E29))</f>
        <v>45970</v>
      </c>
      <c r="G29" t="b">
        <v>0</v>
      </c>
    </row>
    <row r="30" spans="1:7" x14ac:dyDescent="0.25">
      <c r="A30" t="s">
        <v>92</v>
      </c>
      <c r="B30" t="s">
        <v>14</v>
      </c>
      <c r="C30" t="s">
        <v>7</v>
      </c>
      <c r="D30">
        <v>3</v>
      </c>
      <c r="E30" s="3">
        <v>45970</v>
      </c>
      <c r="F30" s="3">
        <f>DATE(YEAR(E30),MONTH(E30)+6,DAY(E30))</f>
        <v>46151</v>
      </c>
      <c r="G30" t="b">
        <v>1</v>
      </c>
    </row>
    <row r="31" spans="1:7" x14ac:dyDescent="0.25">
      <c r="A31" t="s">
        <v>93</v>
      </c>
      <c r="B31" t="s">
        <v>22</v>
      </c>
      <c r="C31" t="s">
        <v>10</v>
      </c>
      <c r="D31">
        <v>1</v>
      </c>
      <c r="E31" s="3">
        <v>45414</v>
      </c>
      <c r="F31" s="3">
        <f>DATE(YEAR(E31),MONTH(E31)+6,DAY(E31))</f>
        <v>45598</v>
      </c>
      <c r="G31" t="b">
        <v>0</v>
      </c>
    </row>
    <row r="32" spans="1:7" x14ac:dyDescent="0.25">
      <c r="A32" t="s">
        <v>94</v>
      </c>
      <c r="B32" t="s">
        <v>22</v>
      </c>
      <c r="C32" t="s">
        <v>10</v>
      </c>
      <c r="D32">
        <v>1</v>
      </c>
      <c r="E32" s="3">
        <v>45598</v>
      </c>
      <c r="F32" s="3">
        <f>DATE(YEAR(E32),MONTH(E32)+6,DAY(E32))</f>
        <v>45779</v>
      </c>
      <c r="G32" t="b">
        <v>0</v>
      </c>
    </row>
    <row r="33" spans="1:7" x14ac:dyDescent="0.25">
      <c r="A33" t="s">
        <v>95</v>
      </c>
      <c r="B33" t="s">
        <v>22</v>
      </c>
      <c r="C33" t="s">
        <v>10</v>
      </c>
      <c r="D33">
        <v>1</v>
      </c>
      <c r="E33" s="3">
        <v>45779</v>
      </c>
      <c r="F33" s="3">
        <f>DATE(YEAR(E33),MONTH(E33)+6,DAY(E33))</f>
        <v>45963</v>
      </c>
      <c r="G33" t="b">
        <v>0</v>
      </c>
    </row>
    <row r="34" spans="1:7" x14ac:dyDescent="0.25">
      <c r="A34" t="s">
        <v>96</v>
      </c>
      <c r="B34" t="s">
        <v>22</v>
      </c>
      <c r="C34" t="s">
        <v>10</v>
      </c>
      <c r="D34">
        <v>1</v>
      </c>
      <c r="E34" s="3">
        <v>45963</v>
      </c>
      <c r="F34" s="3">
        <f>DATE(YEAR(E34),MONTH(E34)+6,DAY(E34))</f>
        <v>46144</v>
      </c>
      <c r="G34" t="b">
        <v>1</v>
      </c>
    </row>
    <row r="35" spans="1:7" x14ac:dyDescent="0.25">
      <c r="A35" t="s">
        <v>97</v>
      </c>
      <c r="B35" t="s">
        <v>33</v>
      </c>
      <c r="C35" t="s">
        <v>9</v>
      </c>
      <c r="D35">
        <v>4</v>
      </c>
      <c r="E35" s="3">
        <v>45891</v>
      </c>
      <c r="F35" s="3">
        <f>DATE(YEAR(E35),MONTH(E35)+6,DAY(E35))</f>
        <v>46075</v>
      </c>
      <c r="G35" t="b">
        <v>1</v>
      </c>
    </row>
    <row r="36" spans="1:7" x14ac:dyDescent="0.25">
      <c r="A36" t="s">
        <v>98</v>
      </c>
      <c r="B36" t="s">
        <v>15</v>
      </c>
      <c r="C36" t="s">
        <v>8</v>
      </c>
      <c r="D36">
        <v>1</v>
      </c>
      <c r="E36" s="3">
        <v>44924</v>
      </c>
      <c r="F36" s="3">
        <f>DATE(YEAR(E36),MONTH(E36)+6,DAY(E36))</f>
        <v>45106</v>
      </c>
      <c r="G36" t="b">
        <v>0</v>
      </c>
    </row>
    <row r="37" spans="1:7" x14ac:dyDescent="0.25">
      <c r="A37" t="s">
        <v>99</v>
      </c>
      <c r="B37" t="s">
        <v>18</v>
      </c>
      <c r="C37" t="s">
        <v>9</v>
      </c>
      <c r="D37">
        <v>1</v>
      </c>
      <c r="E37" s="3">
        <v>45330</v>
      </c>
      <c r="F37" s="3">
        <f>DATE(YEAR(E37),MONTH(E37)+6,DAY(E37))</f>
        <v>45512</v>
      </c>
      <c r="G37" t="b">
        <v>0</v>
      </c>
    </row>
    <row r="38" spans="1:7" x14ac:dyDescent="0.25">
      <c r="A38" t="s">
        <v>100</v>
      </c>
      <c r="B38" t="s">
        <v>31</v>
      </c>
      <c r="C38" t="s">
        <v>8</v>
      </c>
      <c r="D38">
        <v>1</v>
      </c>
      <c r="E38" s="3">
        <v>45849</v>
      </c>
      <c r="F38" s="3">
        <f>DATE(YEAR(E38),MONTH(E38)+6,DAY(E38))</f>
        <v>46033</v>
      </c>
      <c r="G38" t="b">
        <v>0</v>
      </c>
    </row>
    <row r="39" spans="1:7" x14ac:dyDescent="0.25">
      <c r="A39" t="s">
        <v>101</v>
      </c>
      <c r="B39" t="s">
        <v>31</v>
      </c>
      <c r="C39" t="s">
        <v>8</v>
      </c>
      <c r="D39">
        <v>1</v>
      </c>
      <c r="E39" s="3">
        <v>46033</v>
      </c>
      <c r="F39" s="3">
        <f>DATE(YEAR(E39),MONTH(E39)+6,DAY(E39))</f>
        <v>46214</v>
      </c>
      <c r="G39" t="b">
        <v>1</v>
      </c>
    </row>
    <row r="40" spans="1:7" x14ac:dyDescent="0.25">
      <c r="A40" t="s">
        <v>102</v>
      </c>
      <c r="B40" t="s">
        <v>13</v>
      </c>
      <c r="C40" t="s">
        <v>7</v>
      </c>
      <c r="D40">
        <v>2</v>
      </c>
      <c r="E40" s="3">
        <v>45394</v>
      </c>
      <c r="F40" s="3">
        <f>DATE(YEAR(E40),MONTH(E40)+6,DAY(E40))</f>
        <v>45577</v>
      </c>
      <c r="G40" t="b">
        <v>0</v>
      </c>
    </row>
    <row r="41" spans="1:7" x14ac:dyDescent="0.25">
      <c r="A41" t="s">
        <v>103</v>
      </c>
      <c r="B41" t="s">
        <v>13</v>
      </c>
      <c r="C41" t="s">
        <v>7</v>
      </c>
      <c r="D41">
        <v>2</v>
      </c>
      <c r="E41" s="3">
        <v>45577</v>
      </c>
      <c r="F41" s="3">
        <f>DATE(YEAR(E41),MONTH(E41)+6,DAY(E41))</f>
        <v>45759</v>
      </c>
      <c r="G41" t="b">
        <v>0</v>
      </c>
    </row>
    <row r="42" spans="1:7" x14ac:dyDescent="0.25">
      <c r="A42" t="s">
        <v>104</v>
      </c>
      <c r="B42" t="s">
        <v>13</v>
      </c>
      <c r="C42" t="s">
        <v>7</v>
      </c>
      <c r="D42">
        <v>2</v>
      </c>
      <c r="E42" s="3">
        <v>45759</v>
      </c>
      <c r="F42" s="3">
        <f>DATE(YEAR(E42),MONTH(E42)+6,DAY(E42))</f>
        <v>45942</v>
      </c>
      <c r="G42" t="b">
        <v>0</v>
      </c>
    </row>
    <row r="43" spans="1:7" x14ac:dyDescent="0.25">
      <c r="A43" t="s">
        <v>105</v>
      </c>
      <c r="B43" t="s">
        <v>13</v>
      </c>
      <c r="C43" t="s">
        <v>7</v>
      </c>
      <c r="D43">
        <v>2</v>
      </c>
      <c r="E43" s="3">
        <v>45942</v>
      </c>
      <c r="F43" s="3">
        <f>DATE(YEAR(E43),MONTH(E43)+6,DAY(E43))</f>
        <v>46124</v>
      </c>
      <c r="G43" t="b">
        <v>1</v>
      </c>
    </row>
    <row r="44" spans="1:7" x14ac:dyDescent="0.25">
      <c r="A44" t="s">
        <v>106</v>
      </c>
      <c r="B44" t="s">
        <v>43</v>
      </c>
      <c r="C44" t="s">
        <v>8</v>
      </c>
      <c r="D44">
        <v>3</v>
      </c>
      <c r="E44" s="3">
        <v>45010</v>
      </c>
      <c r="F44" s="3">
        <f>DATE(YEAR(E44),MONTH(E44)+6,DAY(E44))</f>
        <v>45194</v>
      </c>
      <c r="G44" t="b">
        <v>0</v>
      </c>
    </row>
    <row r="45" spans="1:7" x14ac:dyDescent="0.25">
      <c r="A45" t="s">
        <v>107</v>
      </c>
      <c r="B45" t="s">
        <v>43</v>
      </c>
      <c r="C45" t="s">
        <v>8</v>
      </c>
      <c r="D45">
        <v>3</v>
      </c>
      <c r="E45" s="3">
        <v>45194</v>
      </c>
      <c r="F45" s="3">
        <f>DATE(YEAR(E45),MONTH(E45)+6,DAY(E45))</f>
        <v>45376</v>
      </c>
      <c r="G45" t="b">
        <v>0</v>
      </c>
    </row>
    <row r="46" spans="1:7" x14ac:dyDescent="0.25">
      <c r="A46" t="s">
        <v>108</v>
      </c>
      <c r="B46" t="s">
        <v>43</v>
      </c>
      <c r="C46" t="s">
        <v>8</v>
      </c>
      <c r="D46">
        <v>3</v>
      </c>
      <c r="E46" s="3">
        <v>45376</v>
      </c>
      <c r="F46" s="3">
        <f>DATE(YEAR(E46),MONTH(E46)+6,DAY(E46))</f>
        <v>45560</v>
      </c>
      <c r="G46" t="b">
        <v>0</v>
      </c>
    </row>
    <row r="47" spans="1:7" x14ac:dyDescent="0.25">
      <c r="A47" t="s">
        <v>109</v>
      </c>
      <c r="B47" t="s">
        <v>43</v>
      </c>
      <c r="C47" t="s">
        <v>8</v>
      </c>
      <c r="D47">
        <v>3</v>
      </c>
      <c r="E47" s="3">
        <v>45560</v>
      </c>
      <c r="F47" s="3">
        <f>DATE(YEAR(E47),MONTH(E47)+6,DAY(E47))</f>
        <v>45741</v>
      </c>
      <c r="G47" t="b">
        <v>0</v>
      </c>
    </row>
    <row r="48" spans="1:7" x14ac:dyDescent="0.25">
      <c r="A48" t="s">
        <v>110</v>
      </c>
      <c r="B48" t="s">
        <v>43</v>
      </c>
      <c r="C48" t="s">
        <v>8</v>
      </c>
      <c r="D48">
        <v>3</v>
      </c>
      <c r="E48" s="3">
        <v>45741</v>
      </c>
      <c r="F48" s="3">
        <f>DATE(YEAR(E48),MONTH(E48)+6,DAY(E48))</f>
        <v>45925</v>
      </c>
      <c r="G48" t="b">
        <v>0</v>
      </c>
    </row>
    <row r="49" spans="1:7" x14ac:dyDescent="0.25">
      <c r="A49" t="s">
        <v>111</v>
      </c>
      <c r="B49" t="s">
        <v>43</v>
      </c>
      <c r="C49" t="s">
        <v>8</v>
      </c>
      <c r="D49">
        <v>3</v>
      </c>
      <c r="E49" s="3">
        <v>45925</v>
      </c>
      <c r="F49" s="3">
        <f>DATE(YEAR(E49),MONTH(E49)+6,DAY(E49))</f>
        <v>46106</v>
      </c>
      <c r="G49" t="b">
        <v>1</v>
      </c>
    </row>
    <row r="50" spans="1:7" x14ac:dyDescent="0.25">
      <c r="A50" t="s">
        <v>112</v>
      </c>
      <c r="B50" t="s">
        <v>35</v>
      </c>
      <c r="C50" t="s">
        <v>9</v>
      </c>
      <c r="D50">
        <v>3</v>
      </c>
      <c r="E50" s="3">
        <v>45982</v>
      </c>
      <c r="F50" s="3">
        <f>DATE(YEAR(E50),MONTH(E50)+6,DAY(E50))</f>
        <v>46163</v>
      </c>
      <c r="G50" t="b">
        <v>1</v>
      </c>
    </row>
    <row r="51" spans="1:7" x14ac:dyDescent="0.25">
      <c r="A51" t="s">
        <v>113</v>
      </c>
      <c r="B51" t="s">
        <v>16</v>
      </c>
      <c r="C51" t="s">
        <v>8</v>
      </c>
      <c r="D51">
        <v>2</v>
      </c>
      <c r="E51" s="3">
        <v>45245</v>
      </c>
      <c r="F51" s="3">
        <f>DATE(YEAR(E51),MONTH(E51)+6,DAY(E51))</f>
        <v>45427</v>
      </c>
      <c r="G51" t="b">
        <v>0</v>
      </c>
    </row>
    <row r="52" spans="1:7" x14ac:dyDescent="0.25">
      <c r="A52" t="s">
        <v>114</v>
      </c>
      <c r="B52" t="s">
        <v>23</v>
      </c>
      <c r="C52" t="s">
        <v>10</v>
      </c>
      <c r="D52">
        <v>2</v>
      </c>
      <c r="E52" s="3">
        <v>45502</v>
      </c>
      <c r="F52" s="3">
        <f>DATE(YEAR(E52),MONTH(E52)+6,DAY(E52))</f>
        <v>45686</v>
      </c>
      <c r="G52" t="b">
        <v>0</v>
      </c>
    </row>
    <row r="53" spans="1:7" x14ac:dyDescent="0.25">
      <c r="A53" t="s">
        <v>115</v>
      </c>
      <c r="B53" t="s">
        <v>23</v>
      </c>
      <c r="C53" t="s">
        <v>10</v>
      </c>
      <c r="D53">
        <v>2</v>
      </c>
      <c r="E53" s="3">
        <v>45686</v>
      </c>
      <c r="F53" s="3">
        <f>DATE(YEAR(E53),MONTH(E53)+6,DAY(E53))</f>
        <v>45867</v>
      </c>
      <c r="G53" t="b">
        <v>0</v>
      </c>
    </row>
    <row r="54" spans="1:7" x14ac:dyDescent="0.25">
      <c r="A54" t="s">
        <v>116</v>
      </c>
      <c r="B54" t="s">
        <v>23</v>
      </c>
      <c r="C54" t="s">
        <v>10</v>
      </c>
      <c r="D54">
        <v>2</v>
      </c>
      <c r="E54" s="3">
        <v>45867</v>
      </c>
      <c r="F54" s="3">
        <f>DATE(YEAR(E54),MONTH(E54)+6,DAY(E54))</f>
        <v>46051</v>
      </c>
      <c r="G54" t="b">
        <v>1</v>
      </c>
    </row>
    <row r="55" spans="1:7" x14ac:dyDescent="0.25">
      <c r="A55" t="s">
        <v>117</v>
      </c>
      <c r="B55" t="s">
        <v>32</v>
      </c>
      <c r="C55" t="s">
        <v>9</v>
      </c>
      <c r="D55">
        <v>1</v>
      </c>
      <c r="E55" s="3">
        <v>45884</v>
      </c>
      <c r="F55" s="3">
        <f>DATE(YEAR(E55),MONTH(E55)+6,DAY(E55))</f>
        <v>46068</v>
      </c>
      <c r="G55" t="b">
        <v>1</v>
      </c>
    </row>
    <row r="56" spans="1:7" x14ac:dyDescent="0.25">
      <c r="A56" s="17" t="s">
        <v>118</v>
      </c>
      <c r="B56" t="s">
        <v>21</v>
      </c>
      <c r="C56" t="s">
        <v>9</v>
      </c>
      <c r="D56">
        <v>4</v>
      </c>
      <c r="E56" s="3">
        <v>45462</v>
      </c>
      <c r="F56" s="3">
        <f>DATE(YEAR(E56),MONTH(E56)+6,DAY(E56))</f>
        <v>45645</v>
      </c>
      <c r="G56" t="b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EC477-38BE-479C-9C35-16FB6E13005D}">
  <dimension ref="A1:H23"/>
  <sheetViews>
    <sheetView zoomScale="130" zoomScaleNormal="130" workbookViewId="0">
      <selection activeCell="D17" sqref="D17"/>
    </sheetView>
  </sheetViews>
  <sheetFormatPr baseColWidth="10" defaultRowHeight="15" x14ac:dyDescent="0.25"/>
  <cols>
    <col min="1" max="1" width="23.28515625" bestFit="1" customWidth="1"/>
    <col min="2" max="2" width="14.7109375" bestFit="1" customWidth="1"/>
    <col min="3" max="3" width="15.42578125" bestFit="1" customWidth="1"/>
    <col min="4" max="4" width="18" bestFit="1" customWidth="1"/>
    <col min="5" max="5" width="6.7109375" bestFit="1" customWidth="1"/>
    <col min="6" max="6" width="19" bestFit="1" customWidth="1"/>
    <col min="7" max="7" width="14.7109375" bestFit="1" customWidth="1"/>
    <col min="9" max="9" width="26.140625" bestFit="1" customWidth="1"/>
    <col min="10" max="10" width="10.140625" bestFit="1" customWidth="1"/>
    <col min="11" max="11" width="18" bestFit="1" customWidth="1"/>
    <col min="12" max="12" width="24" bestFit="1" customWidth="1"/>
    <col min="13" max="13" width="18.7109375" bestFit="1" customWidth="1"/>
    <col min="14" max="14" width="18.28515625" bestFit="1" customWidth="1"/>
    <col min="15" max="15" width="18.42578125" bestFit="1" customWidth="1"/>
    <col min="16" max="16" width="20.42578125" bestFit="1" customWidth="1"/>
    <col min="17" max="17" width="22.28515625" bestFit="1" customWidth="1"/>
    <col min="18" max="18" width="22.7109375" bestFit="1" customWidth="1"/>
    <col min="19" max="19" width="18.7109375" bestFit="1" customWidth="1"/>
    <col min="20" max="20" width="19.140625" bestFit="1" customWidth="1"/>
    <col min="21" max="21" width="17.85546875" bestFit="1" customWidth="1"/>
    <col min="22" max="22" width="18.85546875" bestFit="1" customWidth="1"/>
    <col min="23" max="23" width="17.28515625" bestFit="1" customWidth="1"/>
    <col min="24" max="24" width="12.5703125" bestFit="1" customWidth="1"/>
  </cols>
  <sheetData>
    <row r="1" spans="1:8" x14ac:dyDescent="0.25">
      <c r="A1" s="5" t="s">
        <v>26</v>
      </c>
      <c r="B1" t="s">
        <v>28</v>
      </c>
      <c r="D1" s="5" t="s">
        <v>26</v>
      </c>
      <c r="E1" t="s">
        <v>29</v>
      </c>
      <c r="F1" t="s">
        <v>30</v>
      </c>
      <c r="G1" t="s">
        <v>28</v>
      </c>
      <c r="H1" s="4"/>
    </row>
    <row r="2" spans="1:8" x14ac:dyDescent="0.25">
      <c r="A2" s="13">
        <v>45667</v>
      </c>
      <c r="B2" s="7">
        <v>8221690</v>
      </c>
      <c r="D2" s="8" t="s">
        <v>7</v>
      </c>
      <c r="E2" s="7">
        <v>2531950</v>
      </c>
      <c r="F2" s="7">
        <v>520000</v>
      </c>
      <c r="G2" s="7">
        <v>22960550</v>
      </c>
    </row>
    <row r="3" spans="1:8" x14ac:dyDescent="0.25">
      <c r="A3" s="13">
        <v>45698</v>
      </c>
      <c r="B3" s="7">
        <v>8221690</v>
      </c>
      <c r="D3" s="8" t="s">
        <v>8</v>
      </c>
      <c r="E3" s="7">
        <v>2486260</v>
      </c>
      <c r="F3" s="7">
        <v>740000</v>
      </c>
      <c r="G3" s="7">
        <v>22379340</v>
      </c>
    </row>
    <row r="4" spans="1:8" x14ac:dyDescent="0.25">
      <c r="A4" s="13">
        <v>45730</v>
      </c>
      <c r="B4" s="7">
        <v>8490690</v>
      </c>
      <c r="D4" s="8" t="s">
        <v>9</v>
      </c>
      <c r="E4" s="7">
        <v>3599080</v>
      </c>
      <c r="F4" s="7">
        <v>1000000</v>
      </c>
      <c r="G4" s="7">
        <v>32391720</v>
      </c>
    </row>
    <row r="5" spans="1:8" x14ac:dyDescent="0.25">
      <c r="A5" s="13">
        <v>45755</v>
      </c>
      <c r="B5" s="7">
        <v>8285670</v>
      </c>
      <c r="D5" s="8" t="s">
        <v>10</v>
      </c>
      <c r="E5" s="7">
        <v>3243128</v>
      </c>
      <c r="F5" s="7">
        <v>980000</v>
      </c>
      <c r="G5" s="7">
        <v>29291485</v>
      </c>
    </row>
    <row r="6" spans="1:8" x14ac:dyDescent="0.25">
      <c r="A6" s="13">
        <v>45786</v>
      </c>
      <c r="B6" s="7">
        <v>8315100</v>
      </c>
      <c r="D6" s="8" t="s">
        <v>27</v>
      </c>
      <c r="E6" s="7">
        <v>11860418</v>
      </c>
      <c r="F6" s="7">
        <v>3240000</v>
      </c>
      <c r="G6" s="7">
        <v>107023095</v>
      </c>
    </row>
    <row r="7" spans="1:8" x14ac:dyDescent="0.25">
      <c r="A7" s="13">
        <v>45835</v>
      </c>
      <c r="B7" s="7">
        <v>8355132</v>
      </c>
    </row>
    <row r="8" spans="1:8" x14ac:dyDescent="0.25">
      <c r="A8" s="13">
        <v>45846</v>
      </c>
      <c r="B8" s="7">
        <v>7174242</v>
      </c>
    </row>
    <row r="9" spans="1:8" x14ac:dyDescent="0.25">
      <c r="A9" s="13">
        <v>45877</v>
      </c>
      <c r="B9" s="7">
        <v>7876242</v>
      </c>
    </row>
    <row r="10" spans="1:8" x14ac:dyDescent="0.25">
      <c r="A10" s="13">
        <v>45910</v>
      </c>
      <c r="B10" s="7">
        <v>7898242</v>
      </c>
    </row>
    <row r="11" spans="1:8" x14ac:dyDescent="0.25">
      <c r="A11" s="13">
        <v>45939</v>
      </c>
      <c r="B11" s="7">
        <v>8755465</v>
      </c>
    </row>
    <row r="12" spans="1:8" x14ac:dyDescent="0.25">
      <c r="A12" s="13">
        <v>45969</v>
      </c>
      <c r="B12" s="7">
        <v>8642132</v>
      </c>
      <c r="D12" s="5" t="s">
        <v>37</v>
      </c>
      <c r="E12" t="s">
        <v>12</v>
      </c>
    </row>
    <row r="13" spans="1:8" x14ac:dyDescent="0.25">
      <c r="A13" s="13">
        <v>46002</v>
      </c>
      <c r="B13" s="7">
        <v>8068932</v>
      </c>
      <c r="C13" s="1"/>
    </row>
    <row r="14" spans="1:8" x14ac:dyDescent="0.25">
      <c r="A14" s="13">
        <v>46031</v>
      </c>
      <c r="B14" s="7">
        <v>8717868</v>
      </c>
      <c r="D14" s="5" t="s">
        <v>26</v>
      </c>
    </row>
    <row r="15" spans="1:8" x14ac:dyDescent="0.25">
      <c r="A15" s="6" t="s">
        <v>27</v>
      </c>
      <c r="B15" s="7">
        <v>107023095</v>
      </c>
      <c r="D15" s="8" t="s">
        <v>44</v>
      </c>
    </row>
    <row r="16" spans="1:8" x14ac:dyDescent="0.25">
      <c r="D16" s="11" t="s">
        <v>47</v>
      </c>
    </row>
    <row r="17" spans="4:4" x14ac:dyDescent="0.25">
      <c r="D17" s="16">
        <v>45545</v>
      </c>
    </row>
    <row r="18" spans="4:4" x14ac:dyDescent="0.25">
      <c r="D18" s="8" t="s">
        <v>45</v>
      </c>
    </row>
    <row r="19" spans="4:4" x14ac:dyDescent="0.25">
      <c r="D19" s="11" t="s">
        <v>46</v>
      </c>
    </row>
    <row r="20" spans="4:4" x14ac:dyDescent="0.25">
      <c r="D20" s="16">
        <v>45737</v>
      </c>
    </row>
    <row r="21" spans="4:4" x14ac:dyDescent="0.25">
      <c r="D21" s="11" t="s">
        <v>47</v>
      </c>
    </row>
    <row r="22" spans="4:4" x14ac:dyDescent="0.25">
      <c r="D22" s="16">
        <v>45921</v>
      </c>
    </row>
    <row r="23" spans="4:4" x14ac:dyDescent="0.25">
      <c r="D23" s="8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Pagos</vt:lpstr>
      <vt:lpstr>Contratos</vt:lpstr>
      <vt:lpstr>Tabla dinamica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Mauricio Martinez</dc:creator>
  <cp:lastModifiedBy>Mauricio Martinez</cp:lastModifiedBy>
  <dcterms:created xsi:type="dcterms:W3CDTF">2026-01-13T22:08:48Z</dcterms:created>
  <dcterms:modified xsi:type="dcterms:W3CDTF">2026-01-14T03:52:36Z</dcterms:modified>
</cp:coreProperties>
</file>