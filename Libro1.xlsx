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martinez\"/>
    </mc:Choice>
  </mc:AlternateContent>
  <xr:revisionPtr revIDLastSave="0" documentId="13_ncr:1_{1234E2A1-EE7B-4B7B-A4A0-7DA10881EF4C}" xr6:coauthVersionLast="47" xr6:coauthVersionMax="47" xr10:uidLastSave="{00000000-0000-0000-0000-000000000000}"/>
  <bookViews>
    <workbookView xWindow="-120" yWindow="-120" windowWidth="29040" windowHeight="15720" activeTab="2" xr2:uid="{8B2EE24F-4D9F-4C07-B887-598C03669AC7}"/>
  </bookViews>
  <sheets>
    <sheet name="Contratos" sheetId="3" r:id="rId1"/>
    <sheet name="Tabla dinamica" sheetId="2" r:id="rId2"/>
    <sheet name="Pagos" sheetId="1" r:id="rId3"/>
  </sheets>
  <definedNames>
    <definedName name="_xlcn.WorksheetConnection_Libro1Tabla21" hidden="1">Tabla2[]</definedName>
    <definedName name="_xlcn.WorksheetConnection_Libro1Tabla31" hidden="1">Tabla3[]</definedName>
  </definedNames>
  <calcPr calcId="191029"/>
  <pivotCaches>
    <pivotCache cacheId="12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" name="Tabla3" connection="WorksheetConnection_Libro1!Tabla3"/>
          <x15:modelTable id="Tabla2" name="Tabla2" connection="WorksheetConnection_Libro1!Tabla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4" i="1" l="1" a="1"/>
  <c r="A144" i="1" s="1"/>
  <c r="F6" i="3"/>
  <c r="F13" i="3"/>
  <c r="F45" i="3"/>
  <c r="F68" i="3"/>
  <c r="A174" i="1" a="1"/>
  <c r="A174" i="1" s="1"/>
  <c r="A179" i="1" a="1"/>
  <c r="A179" i="1" s="1"/>
  <c r="F44" i="3"/>
  <c r="F62" i="3"/>
  <c r="F61" i="3"/>
  <c r="F60" i="3"/>
  <c r="F42" i="3"/>
  <c r="F41" i="3"/>
  <c r="F40" i="3"/>
  <c r="F39" i="3"/>
  <c r="L31" i="1"/>
  <c r="F18" i="3"/>
  <c r="F37" i="3"/>
  <c r="F47" i="3"/>
  <c r="F58" i="3"/>
  <c r="F66" i="3"/>
  <c r="F17" i="3"/>
  <c r="F46" i="3"/>
  <c r="F16" i="3"/>
  <c r="F15" i="3"/>
  <c r="F65" i="3"/>
  <c r="F64" i="3"/>
  <c r="F36" i="3"/>
  <c r="F35" i="3"/>
  <c r="F34" i="3"/>
  <c r="F11" i="3"/>
  <c r="F10" i="3"/>
  <c r="F9" i="3"/>
  <c r="F8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57" i="3"/>
  <c r="F56" i="3"/>
  <c r="F51" i="3"/>
  <c r="F50" i="3"/>
  <c r="F49" i="3"/>
  <c r="F4" i="3"/>
  <c r="F3" i="3"/>
  <c r="F54" i="3"/>
  <c r="F55" i="3"/>
  <c r="F53" i="3"/>
  <c r="F14" i="3"/>
  <c r="F12" i="3"/>
  <c r="F63" i="3"/>
  <c r="F33" i="3"/>
  <c r="F67" i="3"/>
  <c r="F5" i="3"/>
  <c r="F7" i="3"/>
  <c r="F43" i="3"/>
  <c r="F52" i="3"/>
  <c r="F59" i="3"/>
  <c r="F38" i="3"/>
  <c r="F19" i="3"/>
  <c r="F48" i="3"/>
  <c r="F2" i="3"/>
  <c r="A8" i="1" s="1" a="1"/>
  <c r="A8" i="1" s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8" i="1"/>
  <c r="L139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A178" i="1" l="1" a="1"/>
  <c r="A178" i="1" s="1"/>
  <c r="A170" i="1" a="1"/>
  <c r="A170" i="1" s="1"/>
  <c r="A162" i="1" a="1"/>
  <c r="A162" i="1" s="1"/>
  <c r="A155" i="1" a="1"/>
  <c r="A155" i="1" s="1"/>
  <c r="A147" i="1" a="1"/>
  <c r="A147" i="1" s="1"/>
  <c r="A139" i="1" a="1"/>
  <c r="A139" i="1" s="1"/>
  <c r="A131" i="1" a="1"/>
  <c r="A131" i="1" s="1"/>
  <c r="A116" i="1" a="1"/>
  <c r="A116" i="1" s="1"/>
  <c r="A108" i="1" a="1"/>
  <c r="A108" i="1" s="1"/>
  <c r="A101" i="1" a="1"/>
  <c r="A101" i="1" s="1"/>
  <c r="A94" i="1" a="1"/>
  <c r="A94" i="1" s="1"/>
  <c r="A87" i="1" a="1"/>
  <c r="A87" i="1" s="1"/>
  <c r="A79" i="1" a="1"/>
  <c r="A79" i="1" s="1"/>
  <c r="A71" i="1" a="1"/>
  <c r="A71" i="1" s="1"/>
  <c r="A63" i="1" a="1"/>
  <c r="A63" i="1" s="1"/>
  <c r="A55" i="1" a="1"/>
  <c r="A55" i="1" s="1"/>
  <c r="A47" i="1" a="1"/>
  <c r="A47" i="1" s="1"/>
  <c r="A39" i="1" a="1"/>
  <c r="A39" i="1" s="1"/>
  <c r="A31" i="1" a="1"/>
  <c r="A31" i="1" s="1"/>
  <c r="A23" i="1" a="1"/>
  <c r="A23" i="1" s="1"/>
  <c r="A15" i="1" a="1"/>
  <c r="A15" i="1" s="1"/>
  <c r="A7" i="1" a="1"/>
  <c r="A7" i="1" s="1"/>
  <c r="A177" i="1" a="1"/>
  <c r="A177" i="1" s="1"/>
  <c r="A169" i="1" a="1"/>
  <c r="A169" i="1" s="1"/>
  <c r="A161" i="1" a="1"/>
  <c r="A161" i="1" s="1"/>
  <c r="A154" i="1" a="1"/>
  <c r="A154" i="1" s="1"/>
  <c r="A146" i="1" a="1"/>
  <c r="A146" i="1" s="1"/>
  <c r="A138" i="1" a="1"/>
  <c r="A138" i="1" s="1"/>
  <c r="A130" i="1" a="1"/>
  <c r="A130" i="1" s="1"/>
  <c r="A123" i="1" a="1"/>
  <c r="A123" i="1" s="1"/>
  <c r="A115" i="1" a="1"/>
  <c r="A115" i="1" s="1"/>
  <c r="A100" i="1" a="1"/>
  <c r="A100" i="1" s="1"/>
  <c r="A93" i="1" a="1"/>
  <c r="A93" i="1" s="1"/>
  <c r="A86" i="1" a="1"/>
  <c r="A86" i="1" s="1"/>
  <c r="A78" i="1" a="1"/>
  <c r="A78" i="1" s="1"/>
  <c r="A70" i="1" a="1"/>
  <c r="A70" i="1" s="1"/>
  <c r="A62" i="1" a="1"/>
  <c r="A62" i="1" s="1"/>
  <c r="A54" i="1" a="1"/>
  <c r="A54" i="1" s="1"/>
  <c r="A46" i="1" a="1"/>
  <c r="A46" i="1" s="1"/>
  <c r="A38" i="1" a="1"/>
  <c r="A38" i="1" s="1"/>
  <c r="A30" i="1" a="1"/>
  <c r="A30" i="1" s="1"/>
  <c r="A22" i="1" a="1"/>
  <c r="A22" i="1" s="1"/>
  <c r="A14" i="1" a="1"/>
  <c r="A14" i="1" s="1"/>
  <c r="A6" i="1" a="1"/>
  <c r="A6" i="1" s="1"/>
  <c r="A176" i="1" a="1"/>
  <c r="A176" i="1" s="1"/>
  <c r="A168" i="1" a="1"/>
  <c r="A168" i="1" s="1"/>
  <c r="A160" i="1" a="1"/>
  <c r="A160" i="1" s="1"/>
  <c r="A153" i="1" a="1"/>
  <c r="A153" i="1" s="1"/>
  <c r="A145" i="1" a="1"/>
  <c r="A145" i="1" s="1"/>
  <c r="A137" i="1" a="1"/>
  <c r="A137" i="1" s="1"/>
  <c r="A129" i="1" a="1"/>
  <c r="A129" i="1" s="1"/>
  <c r="A122" i="1" a="1"/>
  <c r="A122" i="1" s="1"/>
  <c r="A114" i="1" a="1"/>
  <c r="A114" i="1" s="1"/>
  <c r="A107" i="1" a="1"/>
  <c r="A107" i="1" s="1"/>
  <c r="A99" i="1" a="1"/>
  <c r="A99" i="1" s="1"/>
  <c r="A92" i="1" a="1"/>
  <c r="A92" i="1" s="1"/>
  <c r="A85" i="1" a="1"/>
  <c r="A85" i="1" s="1"/>
  <c r="A77" i="1" a="1"/>
  <c r="A77" i="1" s="1"/>
  <c r="A69" i="1" a="1"/>
  <c r="A69" i="1" s="1"/>
  <c r="A61" i="1" a="1"/>
  <c r="A61" i="1" s="1"/>
  <c r="A53" i="1" a="1"/>
  <c r="A53" i="1" s="1"/>
  <c r="A45" i="1" a="1"/>
  <c r="A45" i="1" s="1"/>
  <c r="A37" i="1" a="1"/>
  <c r="A37" i="1" s="1"/>
  <c r="A29" i="1" a="1"/>
  <c r="A29" i="1" s="1"/>
  <c r="A21" i="1" a="1"/>
  <c r="A21" i="1" s="1"/>
  <c r="A13" i="1" a="1"/>
  <c r="A13" i="1" s="1"/>
  <c r="A5" i="1" a="1"/>
  <c r="A5" i="1" s="1"/>
  <c r="A175" i="1" a="1"/>
  <c r="A175" i="1" s="1"/>
  <c r="A167" i="1" a="1"/>
  <c r="A167" i="1" s="1"/>
  <c r="A159" i="1" a="1"/>
  <c r="A159" i="1" s="1"/>
  <c r="A152" i="1" a="1"/>
  <c r="A152" i="1" s="1"/>
  <c r="A136" i="1" a="1"/>
  <c r="A136" i="1" s="1"/>
  <c r="A128" i="1" a="1"/>
  <c r="A128" i="1" s="1"/>
  <c r="A121" i="1" a="1"/>
  <c r="A121" i="1" s="1"/>
  <c r="A113" i="1" a="1"/>
  <c r="A113" i="1" s="1"/>
  <c r="A106" i="1" a="1"/>
  <c r="A106" i="1" s="1"/>
  <c r="A98" i="1" a="1"/>
  <c r="A98" i="1" s="1"/>
  <c r="A91" i="1" a="1"/>
  <c r="A91" i="1" s="1"/>
  <c r="A84" i="1" a="1"/>
  <c r="A84" i="1" s="1"/>
  <c r="A76" i="1" a="1"/>
  <c r="A76" i="1" s="1"/>
  <c r="A68" i="1" a="1"/>
  <c r="A68" i="1" s="1"/>
  <c r="A60" i="1" a="1"/>
  <c r="A60" i="1" s="1"/>
  <c r="A52" i="1" a="1"/>
  <c r="A52" i="1" s="1"/>
  <c r="A44" i="1" a="1"/>
  <c r="A44" i="1" s="1"/>
  <c r="A36" i="1" a="1"/>
  <c r="A36" i="1" s="1"/>
  <c r="A28" i="1" a="1"/>
  <c r="A28" i="1" s="1"/>
  <c r="A20" i="1" a="1"/>
  <c r="A20" i="1" s="1"/>
  <c r="A12" i="1" a="1"/>
  <c r="A12" i="1" s="1"/>
  <c r="A4" i="1" a="1"/>
  <c r="A4" i="1" s="1"/>
  <c r="A166" i="1" a="1"/>
  <c r="A166" i="1" s="1"/>
  <c r="A158" i="1" a="1"/>
  <c r="A158" i="1" s="1"/>
  <c r="A151" i="1" a="1"/>
  <c r="A151" i="1" s="1"/>
  <c r="A143" i="1" a="1"/>
  <c r="A143" i="1" s="1"/>
  <c r="A135" i="1" a="1"/>
  <c r="A135" i="1" s="1"/>
  <c r="A127" i="1" a="1"/>
  <c r="A127" i="1" s="1"/>
  <c r="A120" i="1" a="1"/>
  <c r="A120" i="1" s="1"/>
  <c r="A112" i="1" a="1"/>
  <c r="A112" i="1" s="1"/>
  <c r="A105" i="1" a="1"/>
  <c r="A105" i="1" s="1"/>
  <c r="A97" i="1" a="1"/>
  <c r="A97" i="1" s="1"/>
  <c r="A90" i="1" a="1"/>
  <c r="A90" i="1" s="1"/>
  <c r="A83" i="1" a="1"/>
  <c r="A83" i="1" s="1"/>
  <c r="A75" i="1" a="1"/>
  <c r="A75" i="1" s="1"/>
  <c r="A67" i="1" a="1"/>
  <c r="A67" i="1" s="1"/>
  <c r="A59" i="1" a="1"/>
  <c r="A59" i="1" s="1"/>
  <c r="A51" i="1" a="1"/>
  <c r="A51" i="1" s="1"/>
  <c r="A43" i="1" a="1"/>
  <c r="A43" i="1" s="1"/>
  <c r="A35" i="1" a="1"/>
  <c r="A35" i="1" s="1"/>
  <c r="A27" i="1" a="1"/>
  <c r="A27" i="1" s="1"/>
  <c r="A19" i="1" a="1"/>
  <c r="A19" i="1" s="1"/>
  <c r="A11" i="1" a="1"/>
  <c r="A11" i="1" s="1"/>
  <c r="A3" i="1" a="1"/>
  <c r="A3" i="1" s="1"/>
  <c r="A173" i="1" a="1"/>
  <c r="A173" i="1" s="1"/>
  <c r="A165" i="1" a="1"/>
  <c r="A165" i="1" s="1"/>
  <c r="A150" i="1" a="1"/>
  <c r="A150" i="1" s="1"/>
  <c r="A142" i="1" a="1"/>
  <c r="A142" i="1" s="1"/>
  <c r="A134" i="1" a="1"/>
  <c r="A134" i="1" s="1"/>
  <c r="A126" i="1" a="1"/>
  <c r="A126" i="1" s="1"/>
  <c r="A119" i="1" a="1"/>
  <c r="A119" i="1" s="1"/>
  <c r="A111" i="1" a="1"/>
  <c r="A111" i="1" s="1"/>
  <c r="A104" i="1" a="1"/>
  <c r="A104" i="1" s="1"/>
  <c r="A96" i="1" a="1"/>
  <c r="A96" i="1" s="1"/>
  <c r="A82" i="1" a="1"/>
  <c r="A82" i="1" s="1"/>
  <c r="A74" i="1" a="1"/>
  <c r="A74" i="1" s="1"/>
  <c r="A66" i="1" a="1"/>
  <c r="A66" i="1" s="1"/>
  <c r="A58" i="1" a="1"/>
  <c r="A58" i="1" s="1"/>
  <c r="A50" i="1" a="1"/>
  <c r="A50" i="1" s="1"/>
  <c r="A42" i="1" a="1"/>
  <c r="A42" i="1" s="1"/>
  <c r="A34" i="1" a="1"/>
  <c r="A34" i="1" s="1"/>
  <c r="A26" i="1" a="1"/>
  <c r="A26" i="1" s="1"/>
  <c r="A18" i="1" a="1"/>
  <c r="A18" i="1" s="1"/>
  <c r="A10" i="1" a="1"/>
  <c r="A10" i="1" s="1"/>
  <c r="A2" i="1" a="1"/>
  <c r="A2" i="1" s="1"/>
  <c r="A180" i="1" a="1"/>
  <c r="A180" i="1" s="1"/>
  <c r="A172" i="1" a="1"/>
  <c r="A172" i="1" s="1"/>
  <c r="A164" i="1" a="1"/>
  <c r="A164" i="1" s="1"/>
  <c r="A157" i="1" a="1"/>
  <c r="A157" i="1" s="1"/>
  <c r="A149" i="1" a="1"/>
  <c r="A149" i="1" s="1"/>
  <c r="A141" i="1" a="1"/>
  <c r="A141" i="1" s="1"/>
  <c r="A133" i="1" a="1"/>
  <c r="A133" i="1" s="1"/>
  <c r="A125" i="1" a="1"/>
  <c r="A125" i="1" s="1"/>
  <c r="A118" i="1" a="1"/>
  <c r="A118" i="1" s="1"/>
  <c r="A110" i="1" a="1"/>
  <c r="A110" i="1" s="1"/>
  <c r="A103" i="1" a="1"/>
  <c r="A103" i="1" s="1"/>
  <c r="A95" i="1" a="1"/>
  <c r="A95" i="1" s="1"/>
  <c r="A89" i="1" a="1"/>
  <c r="A89" i="1" s="1"/>
  <c r="A81" i="1" a="1"/>
  <c r="A81" i="1" s="1"/>
  <c r="A73" i="1" a="1"/>
  <c r="A73" i="1" s="1"/>
  <c r="A65" i="1" a="1"/>
  <c r="A65" i="1" s="1"/>
  <c r="A57" i="1" a="1"/>
  <c r="A57" i="1" s="1"/>
  <c r="A49" i="1" a="1"/>
  <c r="A49" i="1" s="1"/>
  <c r="A41" i="1" a="1"/>
  <c r="A41" i="1" s="1"/>
  <c r="A33" i="1" a="1"/>
  <c r="A33" i="1" s="1"/>
  <c r="A25" i="1" a="1"/>
  <c r="A25" i="1" s="1"/>
  <c r="A17" i="1" a="1"/>
  <c r="A17" i="1" s="1"/>
  <c r="A9" i="1" a="1"/>
  <c r="A9" i="1" s="1"/>
  <c r="A171" i="1" a="1"/>
  <c r="A171" i="1" s="1"/>
  <c r="A163" i="1" a="1"/>
  <c r="A163" i="1" s="1"/>
  <c r="A156" i="1" a="1"/>
  <c r="A156" i="1" s="1"/>
  <c r="A148" i="1" a="1"/>
  <c r="A148" i="1" s="1"/>
  <c r="A140" i="1" a="1"/>
  <c r="A140" i="1" s="1"/>
  <c r="A132" i="1" a="1"/>
  <c r="A132" i="1" s="1"/>
  <c r="A124" i="1" a="1"/>
  <c r="A124" i="1" s="1"/>
  <c r="A117" i="1" a="1"/>
  <c r="A117" i="1" s="1"/>
  <c r="A109" i="1" a="1"/>
  <c r="A109" i="1" s="1"/>
  <c r="A102" i="1" a="1"/>
  <c r="A102" i="1" s="1"/>
  <c r="A88" i="1" a="1"/>
  <c r="A88" i="1" s="1"/>
  <c r="A80" i="1" a="1"/>
  <c r="A80" i="1" s="1"/>
  <c r="A72" i="1" a="1"/>
  <c r="A72" i="1" s="1"/>
  <c r="A64" i="1" a="1"/>
  <c r="A64" i="1" s="1"/>
  <c r="A56" i="1" a="1"/>
  <c r="A56" i="1" s="1"/>
  <c r="A48" i="1" a="1"/>
  <c r="A48" i="1" s="1"/>
  <c r="A40" i="1" a="1"/>
  <c r="A40" i="1" s="1"/>
  <c r="A32" i="1" a="1"/>
  <c r="A32" i="1" s="1"/>
  <c r="A24" i="1" a="1"/>
  <c r="A24" i="1" s="1"/>
  <c r="A16" i="1" a="1"/>
  <c r="A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BBB5C-ED39-4AC5-88E4-EA5453EC6FD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884E61-7E39-4B37-858E-A4316CAF3B60}" name="WorksheetConnection_Libro1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Libro1Tabla21"/>
        </x15:connection>
      </ext>
    </extLst>
  </connection>
  <connection id="3" xr16:uid="{DA66C734-B9D9-4728-9064-21857E7846B6}" name="WorksheetConnection_Libro1!Tabla3" type="102" refreshedVersion="8" minRefreshableVersion="5">
    <extLst>
      <ext xmlns:x15="http://schemas.microsoft.com/office/spreadsheetml/2010/11/main" uri="{DE250136-89BD-433C-8126-D09CA5730AF9}">
        <x15:connection id="Tabla3" autoDelete="1">
          <x15:rangePr sourceName="_xlcn.WorksheetConnection_Libro1Tabla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<sst xmlns="http://schemas.openxmlformats.org/spreadsheetml/2006/main" count="1013" uniqueCount="143">
  <si>
    <t>EDIFICIO</t>
  </si>
  <si>
    <t>NOMBRE PROPIETARIO</t>
  </si>
  <si>
    <t>Edificio 1 gaitán</t>
  </si>
  <si>
    <t>Edificio 2 gaitán</t>
  </si>
  <si>
    <t>Edificio 3 gaitán</t>
  </si>
  <si>
    <t>Edificio manantial</t>
  </si>
  <si>
    <t>PISO</t>
  </si>
  <si>
    <t>Ana</t>
  </si>
  <si>
    <t>Luz</t>
  </si>
  <si>
    <t>Gustavo</t>
  </si>
  <si>
    <t>Johana</t>
  </si>
  <si>
    <t>Victor</t>
  </si>
  <si>
    <t>Melissa</t>
  </si>
  <si>
    <t>Juan Olmos</t>
  </si>
  <si>
    <t>Bleikes</t>
  </si>
  <si>
    <t>Angelica</t>
  </si>
  <si>
    <t>Yuranis</t>
  </si>
  <si>
    <t>Henry</t>
  </si>
  <si>
    <t>Yadeisy</t>
  </si>
  <si>
    <t>Carlos Rios</t>
  </si>
  <si>
    <t>Daniel</t>
  </si>
  <si>
    <t>Etiquetas de fila</t>
  </si>
  <si>
    <t>Total general</t>
  </si>
  <si>
    <t>Suma de TOTAL</t>
  </si>
  <si>
    <t>Suma de CUOTA ADMINISTRACION</t>
  </si>
  <si>
    <t>Suma de FONDO INMUEBLE</t>
  </si>
  <si>
    <t>Liliana</t>
  </si>
  <si>
    <t>Yelisa</t>
  </si>
  <si>
    <t>Jaiver</t>
  </si>
  <si>
    <t>Evelyn</t>
  </si>
  <si>
    <t>Orlenys</t>
  </si>
  <si>
    <t>Daniela</t>
  </si>
  <si>
    <t>Nombre</t>
  </si>
  <si>
    <t>Fecha inicio</t>
  </si>
  <si>
    <t>Fecha fin</t>
  </si>
  <si>
    <t>Activo</t>
  </si>
  <si>
    <t>Edificio</t>
  </si>
  <si>
    <t>Piso</t>
  </si>
  <si>
    <t>2025</t>
  </si>
  <si>
    <t>id contrato</t>
  </si>
  <si>
    <t>MES</t>
  </si>
  <si>
    <t>ANIO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</si>
  <si>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</si>
  <si>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</si>
  <si>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</si>
  <si>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</si>
  <si>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</si>
  <si>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</si>
  <si>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</si>
  <si>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</si>
  <si>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</si>
  <si>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</si>
  <si>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</si>
  <si>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</si>
  <si>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c40dcd0a-2212-45b3-b5d4-2aac8818bdf9</t>
  </si>
  <si>
    <t>0f257e4c-3331-4e0e-869e-42c5a332a2a1</t>
  </si>
  <si>
    <t>3dcc043e-cebd-4562-843a-73004bc5a5fb</t>
  </si>
  <si>
    <t>ec860adc-defd-41d8-a89b-21d87b7ea128</t>
  </si>
  <si>
    <t>f60b893f-8aac-444a-b58c-711ee16b899d</t>
  </si>
  <si>
    <t>4665eec5-beab-4ad7-94aa-2367bd5ad522</t>
  </si>
  <si>
    <t>5c552dcf-ebef-4bfe-aee2-c4a6981c0f3a</t>
  </si>
  <si>
    <t>4c0d2b4b-0d3e-42de-af57-9305df4b2c02</t>
  </si>
  <si>
    <t>359216a7-8ba9-4e24-8cac-7dc225c9d6e1</t>
  </si>
  <si>
    <t>4768bece-ab83-433d-8e6e-3a9988dd03b1</t>
  </si>
  <si>
    <t>e6519542-cc79-4b71-bb1a-dedae13cc106</t>
  </si>
  <si>
    <t>8dc982a8-8e30-4eb7-905c-fb55c4175ca4</t>
  </si>
  <si>
    <t>1138e6b0-3b54-4f90-9461-f8f76393e615</t>
  </si>
  <si>
    <t>4d99141d-777f-42b8-9171-236b233bb4bf</t>
  </si>
  <si>
    <t>2aaff763-f744-410b-9718-249c5a655998</t>
  </si>
  <si>
    <t>6f8a6954-01b7-406a-a093-a2cdaaa92486</t>
  </si>
  <si>
    <t>27310f4f-85e3-4b88-a729-7ac95dafed90</t>
  </si>
  <si>
    <t>a015cb3c-59da-4d45-baab-1eb8c5a27b18</t>
  </si>
  <si>
    <t>30fd925e-19d9-44bd-8b5c-433df4f552c5</t>
  </si>
  <si>
    <t>0373883e-fcad-45c8-8bfa-d9a9fed06e62</t>
  </si>
  <si>
    <t>4a750489-eb15-410f-bb3c-6eb9865520f7</t>
  </si>
  <si>
    <t>63486b31-652f-4bf6-9624-2dded95ee588</t>
  </si>
  <si>
    <t>e75eaa65-dcd7-495b-9963-21e4793b7d6b</t>
  </si>
  <si>
    <t>d3d28afd-5f91-4852-8fec-fcfccbfe2f88</t>
  </si>
  <si>
    <t>02bc2bed-c436-414b-bec4-87348717f99f</t>
  </si>
  <si>
    <t>ad170f28-d2f4-44b9-8d89-c741ab0358f7</t>
  </si>
  <si>
    <t>8e4d74fa-ec72-4872-a04b-81c46e2fbd96</t>
  </si>
  <si>
    <t>3222d3e6-2b5b-4103-bc55-29e39c33ca84</t>
  </si>
  <si>
    <t>cac5cc64-81f9-466e-94ec-47be649d3deb</t>
  </si>
  <si>
    <t>d8bf72da-b904-40a1-aaa6-6daa1b9ff004</t>
  </si>
  <si>
    <t>16fbb6a2-d237-4dd2-8a6d-7bd76aa8645c</t>
  </si>
  <si>
    <t>01fb67ad-1898-47db-a814-5a658a723a89</t>
  </si>
  <si>
    <t>40f08409-f7a6-467c-8e53-1f5a9a143a9f</t>
  </si>
  <si>
    <t>b934fcd1-5390-4b7c-b3bc-4a642a1d7f9e</t>
  </si>
  <si>
    <t>a453002a-364d-498e-9097-955db383620d</t>
  </si>
  <si>
    <t>e5026bf5-3439-43f5-a430-a6f452320778</t>
  </si>
  <si>
    <t>1f5eb474-0cc5-4f59-bde6-8b6fb39d4b29</t>
  </si>
  <si>
    <t>4c98583b-658d-4d2e-816a-705f956fba8d</t>
  </si>
  <si>
    <t>f0fd51a6-8061-417f-ba26-419ba1697033</t>
  </si>
  <si>
    <t>e09f74db-f923-4e51-8bce-340da723f0cc</t>
  </si>
  <si>
    <t>0d8d157d-f9ab-4cd6-ac8a-7ed1a74a6746</t>
  </si>
  <si>
    <t>e39b3e8a-33b6-49ac-8fe8-f4ed22ad8b90</t>
  </si>
  <si>
    <t>1cd652ac-940f-4a69-a321-3f92483495db</t>
  </si>
  <si>
    <t>edf21768-caed-40a0-991e-289107b07c58</t>
  </si>
  <si>
    <t>9164c581-af94-48fd-8c20-5bddb475655f</t>
  </si>
  <si>
    <t>3c91b9e4-e30d-43c4-93ec-843b4e0debfe</t>
  </si>
  <si>
    <t>652336e7-90e6-4346-a1db-9c99b994afe6</t>
  </si>
  <si>
    <t>2eb39786-09e7-4dd1-ae3f-137c5bc86751</t>
  </si>
  <si>
    <t>7366f152-e5d2-44a3-8beb-4d85e5905cbc</t>
  </si>
  <si>
    <t>902883b7-2b53-41f8-9d1f-dae6135b4eb7</t>
  </si>
  <si>
    <t>09012b19-863a-4906-b34b-a89dcba8626e</t>
  </si>
  <si>
    <t>10424221-9e53-4f28-aea8-3549e2e43b87</t>
  </si>
  <si>
    <t>10959edc-7e2c-4e4e-b5ee-d6bdac93ae9e</t>
  </si>
  <si>
    <t>02c61008-4e84-43c2-88b5-08e054eb6049</t>
  </si>
  <si>
    <t>165e1685-0b5f-46a9-8720-08682265922b</t>
  </si>
  <si>
    <t>2026</t>
  </si>
  <si>
    <t>(Todas)</t>
  </si>
  <si>
    <t>ae88cdb7-93b0-42cd-bda5-e4576643e9c7</t>
  </si>
  <si>
    <t>bd3eeb6f-a14f-42cf-9deb-94f16f5eee70</t>
  </si>
  <si>
    <t>606f9920-bca3-4057-9abe-f16ab4f7062b</t>
  </si>
  <si>
    <t>fbb0f214-f25a-43ce-bf0b-afe741b4c27b</t>
  </si>
  <si>
    <t>9ce44e27-d7b6-4887-a696-e74e8e7b2a28</t>
  </si>
  <si>
    <t>1c9d267f-bb28-462a-9b6c-10633cc45e36</t>
  </si>
  <si>
    <t>e919ee59-138a-4725-be6c-8f7c401f3312</t>
  </si>
  <si>
    <t>420d1c8b-349d-466e-9369-1ab30c465800</t>
  </si>
  <si>
    <t>2735a74a-eaef-47c1-b2f0-822480f10700</t>
  </si>
  <si>
    <t>9d4e93ec-8103-4ec7-94d4-480e0647a578</t>
  </si>
  <si>
    <t>e725ef85-824a-4f9c-b7c6-445df4612ef0</t>
  </si>
  <si>
    <t>f2b5f4e7-1f87-4e12-8e0e-4963e89c092a</t>
  </si>
  <si>
    <t>TIPO</t>
  </si>
  <si>
    <t>ARRIENDO</t>
  </si>
  <si>
    <t>OTRO</t>
  </si>
  <si>
    <t>Suma de VALOR</t>
  </si>
  <si>
    <t>contrato_arriendo_id</t>
  </si>
  <si>
    <t>tipo</t>
  </si>
  <si>
    <t>mes</t>
  </si>
  <si>
    <t>anio</t>
  </si>
  <si>
    <t>fecha_pago</t>
  </si>
  <si>
    <t>valor_arriendo</t>
  </si>
  <si>
    <t>cuota_administracion</t>
  </si>
  <si>
    <t>fondo_inmueble</t>
  </si>
  <si>
    <t>total_neto</t>
  </si>
  <si>
    <t>FALSO</t>
  </si>
  <si>
    <t>VERDADERO</t>
  </si>
  <si>
    <t>FECHA</t>
  </si>
  <si>
    <t>VALOR</t>
  </si>
  <si>
    <t>CUOTA ADMINISTRACION</t>
  </si>
  <si>
    <t>FONDO INMUEBLE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</si>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</sst>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240A]d&quot; de &quot;mmmm&quot; de &quot;yyyy;@"/>
    <numFmt numFmtId="166" formatCode="d/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164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164" fontId="2" fillId="0" borderId="0" xfId="1" applyNumberFormat="1" applyFont="1"/>
    <xf numFmtId="165" fontId="0" fillId="0" borderId="0" xfId="0" applyNumberFormat="1"/>
    <xf numFmtId="166" fontId="0" fillId="0" borderId="0" xfId="0" applyNumberFormat="1"/>
    <xf numFmtId="164" fontId="3" fillId="0" borderId="0" xfId="1" applyNumberFormat="1" applyFont="1"/>
    <xf numFmtId="0" fontId="0" fillId="0" borderId="0" xfId="1" applyNumberFormat="1" applyFont="1"/>
    <xf numFmtId="11" fontId="0" fillId="0" borderId="0" xfId="0" applyNumberFormat="1"/>
    <xf numFmtId="165" fontId="0" fillId="0" borderId="0" xfId="0" applyNumberFormat="1" applyAlignment="1">
      <alignment horizontal="left" indent="1"/>
    </xf>
  </cellXfs>
  <cellStyles count="2">
    <cellStyle name="Moneda" xfId="1" builtinId="4"/>
    <cellStyle name="Normal" xfId="0" builtinId="0"/>
  </cellStyles>
  <dxfs count="17">
    <dxf>
      <numFmt numFmtId="19" formatCode="d/mm/yyyy"/>
    </dxf>
    <dxf>
      <numFmt numFmtId="19" formatCode="d/mm/yyyy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0" formatCode="General"/>
    </dxf>
    <dxf>
      <numFmt numFmtId="164" formatCode="_-&quot;$&quot;\ * #,##0_-;\-&quot;$&quot;\ * #,##0_-;_-&quot;$&quot;\ * &quot;-&quot;??_-;_-@_-"/>
    </dxf>
    <dxf>
      <numFmt numFmtId="0" formatCode="General"/>
    </dxf>
    <dxf>
      <numFmt numFmtId="164" formatCode="_-&quot;$&quot;\ * #,##0_-;\-&quot;$&quot;\ * #,##0_-;_-&quot;$&quot;\ * &quot;-&quot;??_-;_-@_-"/>
    </dxf>
    <dxf>
      <numFmt numFmtId="0" formatCode="General"/>
    </dxf>
    <dxf>
      <numFmt numFmtId="164" formatCode="_-&quot;$&quot;\ * #,##0_-;\-&quot;$&quot;\ * #,##0_-;_-&quot;$&quot;\ * &quot;-&quot;??_-;_-@_-"/>
    </dxf>
    <dxf>
      <numFmt numFmtId="165" formatCode="[$-240A]d&quot; de &quot;mmmm&quot; de &quot;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</dxf>
    <dxf>
      <numFmt numFmtId="0" formatCode="General"/>
    </dxf>
    <dxf>
      <numFmt numFmtId="165" formatCode="[$-240A]d&quot; de &quot;mmmm&quot; de &quot;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artinez" refreshedDate="46036.541854629628" createdVersion="8" refreshedVersion="8" minRefreshableVersion="3" recordCount="179" xr:uid="{DD1A54ED-322A-4406-8704-D43D773FB08E}">
  <cacheSource type="worksheet">
    <worksheetSource name="Tabla2"/>
  </cacheSource>
  <cacheFields count="15">
    <cacheField name="CONTRATO" numFmtId="0">
      <sharedItems/>
    </cacheField>
    <cacheField name="TIPO" numFmtId="0">
      <sharedItems count="2">
        <s v="ARRIENDO"/>
        <s v="OTRO"/>
      </sharedItems>
    </cacheField>
    <cacheField name="MES" numFmtId="164">
      <sharedItems count="12">
        <s v="Diciembre"/>
        <s v="Enero"/>
        <s v="Febrero"/>
        <s v="Marzo"/>
        <s v="Abril"/>
        <s v="Mayo"/>
        <s v="Junio"/>
        <s v="Julio"/>
        <s v="Agosto"/>
        <s v="Septiembre"/>
        <s v="Octubre"/>
        <s v="Noviembre"/>
      </sharedItems>
    </cacheField>
    <cacheField name="ANIO" numFmtId="0">
      <sharedItems containsSemiMixedTypes="0" containsString="0" containsNumber="1" containsInteger="1" minValue="2024" maxValue="2025" count="2">
        <n v="2024"/>
        <n v="2025"/>
      </sharedItems>
    </cacheField>
    <cacheField name="FECHA" numFmtId="0">
      <sharedItems containsSemiMixedTypes="0" containsNonDate="0" containsDate="1" containsString="0" minDate="2025-01-10T00:00:00" maxDate="2026-01-10T00:00:00" count="13">
        <d v="2025-01-10T00:00:00"/>
        <d v="2025-02-10T00:00:00"/>
        <d v="2025-03-14T00:00:00"/>
        <d v="2025-04-08T00:00:00"/>
        <d v="2025-05-09T00:00:00"/>
        <d v="2025-06-27T00:00:00"/>
        <d v="2025-07-08T00:00:00"/>
        <d v="2025-08-08T00:00:00"/>
        <d v="2025-09-10T00:00:00"/>
        <d v="2025-10-09T00:00:00"/>
        <d v="2025-11-08T00:00:00"/>
        <d v="2025-12-11T00:00:00"/>
        <d v="2026-01-09T00:00:00"/>
      </sharedItems>
      <fieldGroup par="14"/>
    </cacheField>
    <cacheField name="EDIFICIO" numFmtId="0">
      <sharedItems count="4">
        <s v="Edificio 1 gaitán"/>
        <s v="Edificio 2 gaitán"/>
        <s v="Edificio 3 gaitán"/>
        <s v="Edificio manantial"/>
      </sharedItems>
    </cacheField>
    <cacheField name="PISO" numFmtId="0">
      <sharedItems containsSemiMixedTypes="0" containsString="0" containsNumber="1" containsInteger="1" minValue="1" maxValue="4"/>
    </cacheField>
    <cacheField name="NOMBRE PROPIETARIO" numFmtId="0">
      <sharedItems count="20">
        <s v="Ana"/>
        <s v="Luz"/>
        <s v="Gustavo"/>
        <s v="Johana"/>
        <s v="Victor"/>
        <s v="Melissa"/>
        <s v="Juan Olmos"/>
        <s v="Bleikes"/>
        <s v="Angelica"/>
        <s v="Yuranis"/>
        <s v="Henry"/>
        <s v="Yadeisy"/>
        <s v="Carlos Rios"/>
        <s v="Daniel"/>
        <s v="Liliana"/>
        <s v="Yelisa"/>
        <s v="Jaiver"/>
        <s v="Evelyn"/>
        <s v="Orlenys"/>
        <s v="Daniela"/>
      </sharedItems>
    </cacheField>
    <cacheField name="VALOR" numFmtId="164">
      <sharedItems containsSemiMixedTypes="0" containsString="0" containsNumber="1" containsInteger="1" minValue="113333" maxValue="850000" count="28">
        <n v="700000"/>
        <n v="630000"/>
        <n v="600000"/>
        <n v="732100"/>
        <n v="688000"/>
        <n v="601000"/>
        <n v="780000"/>
        <n v="764000"/>
        <n v="620000"/>
        <n v="660000"/>
        <n v="670000"/>
        <n v="650000"/>
        <n v="233000"/>
        <n v="820000"/>
        <n v="632200"/>
        <n v="662700"/>
        <n v="631200"/>
        <n v="673280"/>
        <n v="800000"/>
        <n v="850000"/>
        <n v="736400"/>
        <n v="803700"/>
        <n v="704800"/>
        <n v="680000"/>
        <n v="113333"/>
        <n v="750000"/>
        <n v="720000"/>
        <n v="694320"/>
      </sharedItems>
    </cacheField>
    <cacheField name="CUOTA ADMINISTRACION" numFmtId="164">
      <sharedItems containsSemiMixedTypes="0" containsString="0" containsNumber="1" containsInteger="1" minValue="0" maxValue="83000" count="28">
        <n v="68000"/>
        <n v="61000"/>
        <n v="60000"/>
        <n v="71210"/>
        <n v="66800"/>
        <n v="58000"/>
        <n v="76000"/>
        <n v="74400"/>
        <n v="64000"/>
        <n v="65000"/>
        <n v="63000"/>
        <n v="0"/>
        <n v="80000"/>
        <n v="61220"/>
        <n v="64270"/>
        <n v="63120"/>
        <n v="65328"/>
        <n v="78000"/>
        <n v="83000"/>
        <n v="74640"/>
        <n v="78370"/>
        <n v="68480"/>
        <n v="66000"/>
        <n v="61120"/>
        <n v="71640"/>
        <n v="73000"/>
        <n v="70000"/>
        <n v="67432"/>
      </sharedItems>
    </cacheField>
    <cacheField name="FONDO INMUEBLE" numFmtId="164">
      <sharedItems containsSemiMixedTypes="0" containsString="0" containsNumber="1" containsInteger="1" minValue="0" maxValue="20000" count="2">
        <n v="20000"/>
        <n v="0"/>
      </sharedItems>
    </cacheField>
    <cacheField name="TOTAL" numFmtId="164">
      <sharedItems containsSemiMixedTypes="0" containsString="0" containsNumber="1" containsInteger="1" minValue="113333" maxValue="747000" count="32">
        <n v="612000"/>
        <n v="549000"/>
        <n v="540000"/>
        <n v="640890"/>
        <n v="601200"/>
        <n v="523000"/>
        <n v="684000"/>
        <n v="669600"/>
        <n v="576000"/>
        <n v="585000"/>
        <n v="567000"/>
        <n v="522000"/>
        <n v="233000"/>
        <n v="720000"/>
        <n v="550980"/>
        <n v="578430"/>
        <n v="568080"/>
        <n v="587952"/>
        <n v="702000"/>
        <n v="747000"/>
        <n v="517000"/>
        <n v="641760"/>
        <n v="705330"/>
        <n v="616320"/>
        <n v="614000"/>
        <n v="113333"/>
        <n v="550080"/>
        <n v="644760"/>
        <n v="657000"/>
        <n v="594000"/>
        <n v="630000"/>
        <n v="606888"/>
      </sharedItems>
    </cacheField>
    <cacheField name="Meses (FECHA)" numFmtId="0" databaseField="0">
      <fieldGroup base="4">
        <rangePr groupBy="months" startDate="2025-01-10T00:00:00" endDate="2026-01-10T00:00:00"/>
        <groupItems count="14">
          <s v="&lt;10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0/01/2026"/>
        </groupItems>
      </fieldGroup>
    </cacheField>
    <cacheField name="Trimestres (FECHA)" numFmtId="0" databaseField="0">
      <fieldGroup base="4">
        <rangePr groupBy="quarters" startDate="2025-01-10T00:00:00" endDate="2026-01-10T00:00:00"/>
        <groupItems count="6">
          <s v="&lt;10/01/2025"/>
          <s v="Trim.1"/>
          <s v="Trim.2"/>
          <s v="Trim.3"/>
          <s v="Trim.4"/>
          <s v="&gt;10/01/2026"/>
        </groupItems>
      </fieldGroup>
    </cacheField>
    <cacheField name="Años (FECHA)" numFmtId="0" databaseField="0">
      <fieldGroup base="4">
        <rangePr groupBy="years" startDate="2025-01-10T00:00:00" endDate="2026-01-10T00:00:00"/>
        <groupItems count="4">
          <s v="&lt;10/01/2025"/>
          <s v="2025"/>
          <s v="2026"/>
          <s v="&gt;10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artinez" refreshedDate="46037.437849189817" createdVersion="8" refreshedVersion="8" minRefreshableVersion="3" recordCount="67" xr:uid="{AD8200AA-B37A-4AC7-A750-C25C0D756AD3}">
  <cacheSource type="worksheet">
    <worksheetSource name="Tabla3"/>
  </cacheSource>
  <cacheFields count="10">
    <cacheField name="id contrato" numFmtId="0">
      <sharedItems/>
    </cacheField>
    <cacheField name="Nombre" numFmtId="0">
      <sharedItems count="20">
        <s v="Ana"/>
        <s v="Angelica"/>
        <s v="Bleikes"/>
        <s v="Carlos Rios"/>
        <s v="Daniel"/>
        <s v="Daniela"/>
        <s v="Evelyn"/>
        <s v="Gustavo"/>
        <s v="Henry"/>
        <s v="Jaiver"/>
        <s v="Johana"/>
        <s v="Juan Olmos"/>
        <s v="Liliana"/>
        <s v="Luz"/>
        <s v="Melissa"/>
        <s v="Orlenys"/>
        <s v="Victor"/>
        <s v="Yadeisy"/>
        <s v="Yelisa"/>
        <s v="Yuranis"/>
      </sharedItems>
    </cacheField>
    <cacheField name="Edificio" numFmtId="0">
      <sharedItems/>
    </cacheField>
    <cacheField name="Piso" numFmtId="0">
      <sharedItems containsSemiMixedTypes="0" containsString="0" containsNumber="1" containsInteger="1" minValue="1" maxValue="4"/>
    </cacheField>
    <cacheField name="Fecha inicio" numFmtId="14">
      <sharedItems containsSemiMixedTypes="0" containsNonDate="0" containsDate="1" containsString="0" minDate="2019-05-09T00:00:00" maxDate="2026-01-12T00:00:00" count="64">
        <d v="2024-09-10T00:00:00"/>
        <d v="2025-03-21T00:00:00"/>
        <d v="2025-09-21T00:00:00"/>
        <d v="2024-11-08T00:00:00"/>
        <d v="2025-05-08T00:00:00"/>
        <d v="2023-07-29T00:00:00"/>
        <d v="2024-01-29T00:00:00"/>
        <d v="2024-07-29T00:00:00"/>
        <d v="2025-01-29T00:00:00"/>
        <d v="2025-07-29T00:00:00"/>
        <d v="2024-08-01T00:00:00"/>
        <d v="2025-02-01T00:00:00"/>
        <d v="2024-09-04T00:00:00"/>
        <d v="2025-03-04T00:00:00"/>
        <d v="2025-09-04T00:00:00"/>
        <d v="2025-12-06T00:00:00"/>
        <d v="2025-09-30T00:00:00"/>
        <d v="2019-05-09T00:00:00"/>
        <d v="2019-11-09T00:00:00"/>
        <d v="2020-05-09T00:00:00"/>
        <d v="2020-11-09T00:00:00"/>
        <d v="2021-05-09T00:00:00"/>
        <d v="2021-11-09T00:00:00"/>
        <d v="2022-05-09T00:00:00"/>
        <d v="2022-11-09T00:00:00"/>
        <d v="2023-05-09T00:00:00"/>
        <d v="2023-11-09T00:00:00"/>
        <d v="2024-05-09T00:00:00"/>
        <d v="2024-11-09T00:00:00"/>
        <d v="2025-05-09T00:00:00"/>
        <d v="2025-11-09T00:00:00"/>
        <d v="2024-05-02T00:00:00"/>
        <d v="2024-11-02T00:00:00"/>
        <d v="2025-05-02T00:00:00"/>
        <d v="2025-11-02T00:00:00"/>
        <d v="2025-08-22T00:00:00"/>
        <d v="2022-12-29T00:00:00"/>
        <d v="2023-06-29T00:00:00"/>
        <d v="2023-12-29T00:00:00"/>
        <d v="2024-06-29T00:00:00"/>
        <d v="2024-12-29T00:00:00"/>
        <d v="2024-02-08T00:00:00"/>
        <d v="2024-08-08T00:00:00"/>
        <d v="2025-02-08T00:00:00"/>
        <d v="2025-07-11T00:00:00"/>
        <d v="2026-01-11T00:00:00"/>
        <d v="2024-04-12T00:00:00"/>
        <d v="2024-10-12T00:00:00"/>
        <d v="2025-04-12T00:00:00"/>
        <d v="2025-10-12T00:00:00"/>
        <d v="2023-03-25T00:00:00"/>
        <d v="2023-09-25T00:00:00"/>
        <d v="2024-03-25T00:00:00"/>
        <d v="2024-09-25T00:00:00"/>
        <d v="2025-03-25T00:00:00"/>
        <d v="2025-09-25T00:00:00"/>
        <d v="2025-11-21T00:00:00"/>
        <d v="2023-11-15T00:00:00"/>
        <d v="2024-05-15T00:00:00"/>
        <d v="2024-11-15T00:00:00"/>
        <d v="2025-05-15T00:00:00"/>
        <d v="2025-08-15T00:00:00"/>
        <d v="2024-06-19T00:00:00"/>
        <d v="2024-12-19T00:00:00"/>
      </sharedItems>
      <fieldGroup par="9"/>
    </cacheField>
    <cacheField name="Fecha fin" numFmtId="14">
      <sharedItems containsSemiMixedTypes="0" containsNonDate="0" containsDate="1" containsString="0" minDate="2019-11-09T00:00:00" maxDate="2026-07-12T00:00:00" count="64">
        <d v="2025-03-10T00:00:00"/>
        <d v="2025-09-21T00:00:00"/>
        <d v="2026-03-21T00:00:00"/>
        <d v="2025-05-08T00:00:00"/>
        <d v="2025-11-08T00:00:00"/>
        <d v="2024-01-29T00:00:00"/>
        <d v="2024-07-29T00:00:00"/>
        <d v="2025-01-29T00:00:00"/>
        <d v="2025-07-29T00:00:00"/>
        <d v="2026-01-29T00:00:00"/>
        <d v="2025-02-01T00:00:00"/>
        <d v="2025-08-01T00:00:00"/>
        <d v="2025-03-04T00:00:00"/>
        <d v="2025-09-04T00:00:00"/>
        <d v="2026-03-04T00:00:00"/>
        <d v="2026-06-06T00:00:00"/>
        <d v="2026-03-30T00:00:00"/>
        <d v="2019-11-09T00:00:00"/>
        <d v="2020-05-09T00:00:00"/>
        <d v="2020-11-09T00:00:00"/>
        <d v="2021-05-09T00:00:00"/>
        <d v="2021-11-09T00:00:00"/>
        <d v="2022-05-09T00:00:00"/>
        <d v="2022-11-09T00:00:00"/>
        <d v="2023-05-09T00:00:00"/>
        <d v="2023-11-09T00:00:00"/>
        <d v="2024-05-09T00:00:00"/>
        <d v="2024-11-09T00:00:00"/>
        <d v="2025-05-09T00:00:00"/>
        <d v="2025-11-09T00:00:00"/>
        <d v="2026-05-09T00:00:00"/>
        <d v="2024-11-02T00:00:00"/>
        <d v="2025-05-02T00:00:00"/>
        <d v="2025-11-02T00:00:00"/>
        <d v="2026-05-02T00:00:00"/>
        <d v="2026-02-22T00:00:00"/>
        <d v="2023-06-29T00:00:00"/>
        <d v="2023-12-29T00:00:00"/>
        <d v="2024-06-29T00:00:00"/>
        <d v="2024-12-29T00:00:00"/>
        <d v="2025-06-29T00:00:00"/>
        <d v="2024-08-08T00:00:00"/>
        <d v="2025-02-08T00:00:00"/>
        <d v="2025-08-08T00:00:00"/>
        <d v="2026-01-11T00:00:00"/>
        <d v="2026-07-11T00:00:00"/>
        <d v="2024-10-12T00:00:00"/>
        <d v="2025-04-12T00:00:00"/>
        <d v="2025-10-12T00:00:00"/>
        <d v="2026-04-12T00:00:00"/>
        <d v="2023-09-25T00:00:00"/>
        <d v="2024-03-25T00:00:00"/>
        <d v="2024-09-25T00:00:00"/>
        <d v="2025-03-25T00:00:00"/>
        <d v="2025-09-25T00:00:00"/>
        <d v="2026-03-25T00:00:00"/>
        <d v="2026-05-21T00:00:00"/>
        <d v="2024-05-15T00:00:00"/>
        <d v="2024-11-15T00:00:00"/>
        <d v="2025-05-15T00:00:00"/>
        <d v="2025-11-15T00:00:00"/>
        <d v="2026-02-15T00:00:00"/>
        <d v="2024-12-19T00:00:00"/>
        <d v="2025-06-19T00:00:00"/>
      </sharedItems>
    </cacheField>
    <cacheField name="Activo" numFmtId="0">
      <sharedItems count="2">
        <b v="0"/>
        <b v="1"/>
      </sharedItems>
    </cacheField>
    <cacheField name="Meses (Fecha inicio)" numFmtId="0" databaseField="0">
      <fieldGroup base="4">
        <rangePr groupBy="months" startDate="2019-05-09T00:00:00" endDate="2026-01-12T00:00:00"/>
        <groupItems count="14">
          <s v="&lt;9/05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2/01/2026"/>
        </groupItems>
      </fieldGroup>
    </cacheField>
    <cacheField name="Trimestres (Fecha inicio)" numFmtId="0" databaseField="0">
      <fieldGroup base="4">
        <rangePr groupBy="quarters" startDate="2019-05-09T00:00:00" endDate="2026-01-12T00:00:00"/>
        <groupItems count="6">
          <s v="&lt;9/05/2019"/>
          <s v="Trim.1"/>
          <s v="Trim.2"/>
          <s v="Trim.3"/>
          <s v="Trim.4"/>
          <s v="&gt;12/01/2026"/>
        </groupItems>
      </fieldGroup>
    </cacheField>
    <cacheField name="Años (Fecha inicio)" numFmtId="0" databaseField="0">
      <fieldGroup base="4">
        <rangePr groupBy="years" startDate="2019-05-09T00:00:00" endDate="2026-01-12T00:00:00"/>
        <groupItems count="10">
          <s v="&lt;9/05/2019"/>
          <s v="2019"/>
          <s v="2020"/>
          <s v="2021"/>
          <s v="2022"/>
          <s v="2023"/>
          <s v="2024"/>
          <s v="2025"/>
          <s v="2026"/>
          <s v="&gt;12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c40dcd0a-2212-45b3-b5d4-2aac8818bdf9"/>
    <x v="0"/>
    <x v="0"/>
    <x v="0"/>
    <x v="0"/>
    <x v="0"/>
    <n v="1"/>
    <x v="0"/>
    <x v="0"/>
    <x v="0"/>
    <x v="0"/>
    <x v="0"/>
  </r>
  <r>
    <s v="e09f74db-f923-4e51-8bce-340da723f0cc"/>
    <x v="0"/>
    <x v="0"/>
    <x v="0"/>
    <x v="0"/>
    <x v="0"/>
    <n v="2"/>
    <x v="1"/>
    <x v="1"/>
    <x v="1"/>
    <x v="0"/>
    <x v="1"/>
  </r>
  <r>
    <s v="8e4d74fa-ec72-4872-a04b-81c46e2fbd96"/>
    <x v="0"/>
    <x v="0"/>
    <x v="0"/>
    <x v="0"/>
    <x v="0"/>
    <n v="3"/>
    <x v="2"/>
    <x v="2"/>
    <x v="2"/>
    <x v="1"/>
    <x v="2"/>
  </r>
  <r>
    <s v="9ce44e27-d7b6-4887-a696-e74e8e7b2a28"/>
    <x v="0"/>
    <x v="0"/>
    <x v="0"/>
    <x v="0"/>
    <x v="1"/>
    <n v="1"/>
    <x v="3"/>
    <x v="3"/>
    <x v="3"/>
    <x v="0"/>
    <x v="3"/>
  </r>
  <r>
    <s v="9d4e93ec-8103-4ec7-94d4-480e0647a578"/>
    <x v="0"/>
    <x v="0"/>
    <x v="0"/>
    <x v="0"/>
    <x v="1"/>
    <n v="2"/>
    <x v="4"/>
    <x v="4"/>
    <x v="4"/>
    <x v="0"/>
    <x v="4"/>
  </r>
  <r>
    <s v="3c91b9e4-e30d-43c4-93ec-843b4e0debfe"/>
    <x v="0"/>
    <x v="0"/>
    <x v="0"/>
    <x v="0"/>
    <x v="1"/>
    <n v="3"/>
    <x v="5"/>
    <x v="5"/>
    <x v="5"/>
    <x v="0"/>
    <x v="5"/>
  </r>
  <r>
    <s v="e919ee59-138a-4725-be6c-8f7c401f3312"/>
    <x v="0"/>
    <x v="0"/>
    <x v="0"/>
    <x v="0"/>
    <x v="2"/>
    <n v="1"/>
    <x v="6"/>
    <x v="6"/>
    <x v="6"/>
    <x v="0"/>
    <x v="6"/>
  </r>
  <r>
    <s v="5c552dcf-ebef-4bfe-aee2-c4a6981c0f3a"/>
    <x v="0"/>
    <x v="0"/>
    <x v="0"/>
    <x v="0"/>
    <x v="2"/>
    <n v="2"/>
    <x v="7"/>
    <x v="7"/>
    <x v="7"/>
    <x v="0"/>
    <x v="7"/>
  </r>
  <r>
    <s v="ec860adc-defd-41d8-a89b-21d87b7ea128"/>
    <x v="0"/>
    <x v="0"/>
    <x v="0"/>
    <x v="0"/>
    <x v="2"/>
    <n v="3"/>
    <x v="8"/>
    <x v="0"/>
    <x v="0"/>
    <x v="0"/>
    <x v="0"/>
  </r>
  <r>
    <s v="165e1685-0b5f-46a9-8720-08682265922b"/>
    <x v="0"/>
    <x v="0"/>
    <x v="0"/>
    <x v="0"/>
    <x v="2"/>
    <n v="4"/>
    <x v="9"/>
    <x v="8"/>
    <x v="2"/>
    <x v="0"/>
    <x v="2"/>
  </r>
  <r>
    <s v="16fbb6a2-d237-4dd2-8a6d-7bd76aa8645c"/>
    <x v="0"/>
    <x v="0"/>
    <x v="0"/>
    <x v="0"/>
    <x v="3"/>
    <n v="1"/>
    <x v="10"/>
    <x v="9"/>
    <x v="8"/>
    <x v="0"/>
    <x v="8"/>
  </r>
  <r>
    <s v="09012b19-863a-4906-b34b-a89dcba8626e"/>
    <x v="0"/>
    <x v="0"/>
    <x v="0"/>
    <x v="0"/>
    <x v="3"/>
    <n v="2"/>
    <x v="11"/>
    <x v="10"/>
    <x v="9"/>
    <x v="0"/>
    <x v="9"/>
  </r>
  <r>
    <s v="4768bece-ab83-433d-8e6e-3a9988dd03b1"/>
    <x v="0"/>
    <x v="0"/>
    <x v="0"/>
    <x v="0"/>
    <x v="3"/>
    <n v="3"/>
    <x v="12"/>
    <x v="11"/>
    <x v="10"/>
    <x v="0"/>
    <x v="10"/>
  </r>
  <r>
    <s v="e6519542-cc79-4b71-bb1a-dedae13cc106"/>
    <x v="0"/>
    <x v="0"/>
    <x v="0"/>
    <x v="0"/>
    <x v="3"/>
    <n v="4"/>
    <x v="13"/>
    <x v="2"/>
    <x v="5"/>
    <x v="0"/>
    <x v="11"/>
  </r>
  <r>
    <s v="c40dcd0a-2212-45b3-b5d4-2aac8818bdf9"/>
    <x v="0"/>
    <x v="1"/>
    <x v="1"/>
    <x v="1"/>
    <x v="0"/>
    <n v="1"/>
    <x v="0"/>
    <x v="0"/>
    <x v="0"/>
    <x v="0"/>
    <x v="0"/>
  </r>
  <r>
    <s v="e09f74db-f923-4e51-8bce-340da723f0cc"/>
    <x v="0"/>
    <x v="1"/>
    <x v="1"/>
    <x v="1"/>
    <x v="0"/>
    <n v="2"/>
    <x v="1"/>
    <x v="1"/>
    <x v="1"/>
    <x v="0"/>
    <x v="1"/>
  </r>
  <r>
    <s v="8e4d74fa-ec72-4872-a04b-81c46e2fbd96"/>
    <x v="0"/>
    <x v="1"/>
    <x v="1"/>
    <x v="1"/>
    <x v="0"/>
    <n v="3"/>
    <x v="2"/>
    <x v="2"/>
    <x v="2"/>
    <x v="1"/>
    <x v="2"/>
  </r>
  <r>
    <s v="1c9d267f-bb28-462a-9b6c-10633cc45e36"/>
    <x v="0"/>
    <x v="1"/>
    <x v="1"/>
    <x v="1"/>
    <x v="1"/>
    <n v="1"/>
    <x v="3"/>
    <x v="3"/>
    <x v="3"/>
    <x v="0"/>
    <x v="3"/>
  </r>
  <r>
    <s v="9d4e93ec-8103-4ec7-94d4-480e0647a578"/>
    <x v="0"/>
    <x v="1"/>
    <x v="1"/>
    <x v="1"/>
    <x v="1"/>
    <n v="2"/>
    <x v="4"/>
    <x v="4"/>
    <x v="4"/>
    <x v="0"/>
    <x v="4"/>
  </r>
  <r>
    <s v="3c91b9e4-e30d-43c4-93ec-843b4e0debfe"/>
    <x v="0"/>
    <x v="1"/>
    <x v="1"/>
    <x v="1"/>
    <x v="1"/>
    <n v="3"/>
    <x v="5"/>
    <x v="5"/>
    <x v="5"/>
    <x v="0"/>
    <x v="5"/>
  </r>
  <r>
    <s v="e919ee59-138a-4725-be6c-8f7c401f3312"/>
    <x v="0"/>
    <x v="1"/>
    <x v="1"/>
    <x v="1"/>
    <x v="2"/>
    <n v="1"/>
    <x v="6"/>
    <x v="6"/>
    <x v="6"/>
    <x v="0"/>
    <x v="6"/>
  </r>
  <r>
    <s v="5c552dcf-ebef-4bfe-aee2-c4a6981c0f3a"/>
    <x v="0"/>
    <x v="1"/>
    <x v="1"/>
    <x v="1"/>
    <x v="2"/>
    <n v="2"/>
    <x v="7"/>
    <x v="7"/>
    <x v="7"/>
    <x v="0"/>
    <x v="7"/>
  </r>
  <r>
    <s v="ec860adc-defd-41d8-a89b-21d87b7ea128"/>
    <x v="0"/>
    <x v="1"/>
    <x v="1"/>
    <x v="1"/>
    <x v="2"/>
    <n v="3"/>
    <x v="8"/>
    <x v="0"/>
    <x v="0"/>
    <x v="0"/>
    <x v="0"/>
  </r>
  <r>
    <s v="f2b5f4e7-1f87-4e12-8e0e-4963e89c092a"/>
    <x v="0"/>
    <x v="1"/>
    <x v="1"/>
    <x v="1"/>
    <x v="2"/>
    <n v="4"/>
    <x v="9"/>
    <x v="8"/>
    <x v="2"/>
    <x v="0"/>
    <x v="2"/>
  </r>
  <r>
    <s v="16fbb6a2-d237-4dd2-8a6d-7bd76aa8645c"/>
    <x v="0"/>
    <x v="1"/>
    <x v="1"/>
    <x v="1"/>
    <x v="3"/>
    <n v="1"/>
    <x v="10"/>
    <x v="9"/>
    <x v="8"/>
    <x v="0"/>
    <x v="8"/>
  </r>
  <r>
    <s v="09012b19-863a-4906-b34b-a89dcba8626e"/>
    <x v="0"/>
    <x v="1"/>
    <x v="1"/>
    <x v="1"/>
    <x v="3"/>
    <n v="2"/>
    <x v="11"/>
    <x v="10"/>
    <x v="9"/>
    <x v="0"/>
    <x v="9"/>
  </r>
  <r>
    <s v="4768bece-ab83-433d-8e6e-3a9988dd03b1"/>
    <x v="0"/>
    <x v="1"/>
    <x v="1"/>
    <x v="1"/>
    <x v="3"/>
    <n v="3"/>
    <x v="12"/>
    <x v="11"/>
    <x v="10"/>
    <x v="0"/>
    <x v="10"/>
  </r>
  <r>
    <s v="e6519542-cc79-4b71-bb1a-dedae13cc106"/>
    <x v="0"/>
    <x v="1"/>
    <x v="1"/>
    <x v="1"/>
    <x v="3"/>
    <n v="4"/>
    <x v="13"/>
    <x v="2"/>
    <x v="5"/>
    <x v="0"/>
    <x v="11"/>
  </r>
  <r>
    <s v="c40dcd0a-2212-45b3-b5d4-2aac8818bdf9"/>
    <x v="0"/>
    <x v="2"/>
    <x v="1"/>
    <x v="2"/>
    <x v="0"/>
    <n v="1"/>
    <x v="0"/>
    <x v="0"/>
    <x v="0"/>
    <x v="0"/>
    <x v="0"/>
  </r>
  <r>
    <s v="c40dcd0a-2212-45b3-b5d4-2aac8818bdf9"/>
    <x v="1"/>
    <x v="2"/>
    <x v="1"/>
    <x v="2"/>
    <x v="0"/>
    <n v="1"/>
    <x v="0"/>
    <x v="12"/>
    <x v="11"/>
    <x v="1"/>
    <x v="12"/>
  </r>
  <r>
    <s v="e09f74db-f923-4e51-8bce-340da723f0cc"/>
    <x v="0"/>
    <x v="2"/>
    <x v="1"/>
    <x v="2"/>
    <x v="0"/>
    <n v="2"/>
    <x v="1"/>
    <x v="1"/>
    <x v="1"/>
    <x v="0"/>
    <x v="1"/>
  </r>
  <r>
    <s v="8e4d74fa-ec72-4872-a04b-81c46e2fbd96"/>
    <x v="0"/>
    <x v="2"/>
    <x v="1"/>
    <x v="2"/>
    <x v="0"/>
    <n v="3"/>
    <x v="2"/>
    <x v="2"/>
    <x v="2"/>
    <x v="1"/>
    <x v="2"/>
  </r>
  <r>
    <s v="1c9d267f-bb28-462a-9b6c-10633cc45e36"/>
    <x v="0"/>
    <x v="2"/>
    <x v="1"/>
    <x v="2"/>
    <x v="1"/>
    <n v="1"/>
    <x v="3"/>
    <x v="3"/>
    <x v="3"/>
    <x v="0"/>
    <x v="3"/>
  </r>
  <r>
    <s v="9d4e93ec-8103-4ec7-94d4-480e0647a578"/>
    <x v="0"/>
    <x v="2"/>
    <x v="1"/>
    <x v="2"/>
    <x v="1"/>
    <n v="2"/>
    <x v="4"/>
    <x v="4"/>
    <x v="4"/>
    <x v="0"/>
    <x v="4"/>
  </r>
  <r>
    <s v="3c91b9e4-e30d-43c4-93ec-843b4e0debfe"/>
    <x v="0"/>
    <x v="2"/>
    <x v="1"/>
    <x v="2"/>
    <x v="1"/>
    <n v="3"/>
    <x v="5"/>
    <x v="5"/>
    <x v="5"/>
    <x v="0"/>
    <x v="5"/>
  </r>
  <r>
    <s v="e919ee59-138a-4725-be6c-8f7c401f3312"/>
    <x v="0"/>
    <x v="2"/>
    <x v="1"/>
    <x v="2"/>
    <x v="2"/>
    <n v="1"/>
    <x v="6"/>
    <x v="13"/>
    <x v="12"/>
    <x v="0"/>
    <x v="13"/>
  </r>
  <r>
    <s v="4c0d2b4b-0d3e-42de-af57-9305df4b2c02"/>
    <x v="0"/>
    <x v="2"/>
    <x v="1"/>
    <x v="2"/>
    <x v="2"/>
    <n v="2"/>
    <x v="7"/>
    <x v="7"/>
    <x v="7"/>
    <x v="0"/>
    <x v="7"/>
  </r>
  <r>
    <s v="ec860adc-defd-41d8-a89b-21d87b7ea128"/>
    <x v="0"/>
    <x v="2"/>
    <x v="1"/>
    <x v="2"/>
    <x v="2"/>
    <n v="3"/>
    <x v="8"/>
    <x v="0"/>
    <x v="0"/>
    <x v="0"/>
    <x v="0"/>
  </r>
  <r>
    <s v="f2b5f4e7-1f87-4e12-8e0e-4963e89c092a"/>
    <x v="0"/>
    <x v="2"/>
    <x v="1"/>
    <x v="2"/>
    <x v="2"/>
    <n v="4"/>
    <x v="9"/>
    <x v="8"/>
    <x v="2"/>
    <x v="0"/>
    <x v="2"/>
  </r>
  <r>
    <s v="16fbb6a2-d237-4dd2-8a6d-7bd76aa8645c"/>
    <x v="0"/>
    <x v="2"/>
    <x v="1"/>
    <x v="2"/>
    <x v="3"/>
    <n v="1"/>
    <x v="10"/>
    <x v="9"/>
    <x v="8"/>
    <x v="0"/>
    <x v="8"/>
  </r>
  <r>
    <s v="10424221-9e53-4f28-aea8-3549e2e43b87"/>
    <x v="0"/>
    <x v="2"/>
    <x v="1"/>
    <x v="2"/>
    <x v="3"/>
    <n v="2"/>
    <x v="11"/>
    <x v="10"/>
    <x v="9"/>
    <x v="0"/>
    <x v="9"/>
  </r>
  <r>
    <s v="4768bece-ab83-433d-8e6e-3a9988dd03b1"/>
    <x v="0"/>
    <x v="2"/>
    <x v="1"/>
    <x v="2"/>
    <x v="3"/>
    <n v="3"/>
    <x v="12"/>
    <x v="11"/>
    <x v="10"/>
    <x v="0"/>
    <x v="10"/>
  </r>
  <r>
    <s v="e6519542-cc79-4b71-bb1a-dedae13cc106"/>
    <x v="0"/>
    <x v="2"/>
    <x v="1"/>
    <x v="2"/>
    <x v="3"/>
    <n v="4"/>
    <x v="13"/>
    <x v="2"/>
    <x v="5"/>
    <x v="0"/>
    <x v="11"/>
  </r>
  <r>
    <s v="c40dcd0a-2212-45b3-b5d4-2aac8818bdf9"/>
    <x v="0"/>
    <x v="3"/>
    <x v="1"/>
    <x v="3"/>
    <x v="0"/>
    <n v="1"/>
    <x v="0"/>
    <x v="0"/>
    <x v="0"/>
    <x v="0"/>
    <x v="0"/>
  </r>
  <r>
    <s v="e09f74db-f923-4e51-8bce-340da723f0cc"/>
    <x v="0"/>
    <x v="3"/>
    <x v="1"/>
    <x v="3"/>
    <x v="0"/>
    <n v="2"/>
    <x v="1"/>
    <x v="1"/>
    <x v="1"/>
    <x v="0"/>
    <x v="1"/>
  </r>
  <r>
    <s v="8e4d74fa-ec72-4872-a04b-81c46e2fbd96"/>
    <x v="0"/>
    <x v="3"/>
    <x v="1"/>
    <x v="3"/>
    <x v="0"/>
    <n v="3"/>
    <x v="2"/>
    <x v="2"/>
    <x v="2"/>
    <x v="1"/>
    <x v="2"/>
  </r>
  <r>
    <s v="1c9d267f-bb28-462a-9b6c-10633cc45e36"/>
    <x v="0"/>
    <x v="3"/>
    <x v="1"/>
    <x v="3"/>
    <x v="1"/>
    <n v="1"/>
    <x v="3"/>
    <x v="3"/>
    <x v="3"/>
    <x v="0"/>
    <x v="3"/>
  </r>
  <r>
    <s v="9d4e93ec-8103-4ec7-94d4-480e0647a578"/>
    <x v="0"/>
    <x v="3"/>
    <x v="1"/>
    <x v="3"/>
    <x v="1"/>
    <n v="2"/>
    <x v="4"/>
    <x v="4"/>
    <x v="4"/>
    <x v="0"/>
    <x v="4"/>
  </r>
  <r>
    <s v="3c91b9e4-e30d-43c4-93ec-843b4e0debfe"/>
    <x v="0"/>
    <x v="3"/>
    <x v="1"/>
    <x v="3"/>
    <x v="1"/>
    <n v="3"/>
    <x v="5"/>
    <x v="14"/>
    <x v="13"/>
    <x v="0"/>
    <x v="14"/>
  </r>
  <r>
    <s v="420d1c8b-349d-466e-9369-1ab30c465800"/>
    <x v="0"/>
    <x v="3"/>
    <x v="1"/>
    <x v="3"/>
    <x v="2"/>
    <n v="1"/>
    <x v="6"/>
    <x v="13"/>
    <x v="12"/>
    <x v="0"/>
    <x v="13"/>
  </r>
  <r>
    <s v="4c0d2b4b-0d3e-42de-af57-9305df4b2c02"/>
    <x v="0"/>
    <x v="3"/>
    <x v="1"/>
    <x v="3"/>
    <x v="2"/>
    <n v="2"/>
    <x v="7"/>
    <x v="7"/>
    <x v="7"/>
    <x v="0"/>
    <x v="7"/>
  </r>
  <r>
    <s v="ec860adc-defd-41d8-a89b-21d87b7ea128"/>
    <x v="0"/>
    <x v="3"/>
    <x v="1"/>
    <x v="3"/>
    <x v="2"/>
    <n v="3"/>
    <x v="8"/>
    <x v="0"/>
    <x v="0"/>
    <x v="0"/>
    <x v="0"/>
  </r>
  <r>
    <s v="f2b5f4e7-1f87-4e12-8e0e-4963e89c092a"/>
    <x v="0"/>
    <x v="3"/>
    <x v="1"/>
    <x v="3"/>
    <x v="2"/>
    <n v="4"/>
    <x v="9"/>
    <x v="8"/>
    <x v="2"/>
    <x v="0"/>
    <x v="2"/>
  </r>
  <r>
    <s v="16fbb6a2-d237-4dd2-8a6d-7bd76aa8645c"/>
    <x v="0"/>
    <x v="3"/>
    <x v="1"/>
    <x v="3"/>
    <x v="3"/>
    <n v="1"/>
    <x v="10"/>
    <x v="9"/>
    <x v="8"/>
    <x v="0"/>
    <x v="8"/>
  </r>
  <r>
    <s v="10424221-9e53-4f28-aea8-3549e2e43b87"/>
    <x v="0"/>
    <x v="3"/>
    <x v="1"/>
    <x v="3"/>
    <x v="3"/>
    <n v="2"/>
    <x v="11"/>
    <x v="10"/>
    <x v="9"/>
    <x v="0"/>
    <x v="9"/>
  </r>
  <r>
    <s v="bd3eeb6f-a14f-42cf-9deb-94f16f5eee70"/>
    <x v="0"/>
    <x v="3"/>
    <x v="1"/>
    <x v="3"/>
    <x v="3"/>
    <n v="3"/>
    <x v="12"/>
    <x v="11"/>
    <x v="10"/>
    <x v="0"/>
    <x v="10"/>
  </r>
  <r>
    <s v="e6519542-cc79-4b71-bb1a-dedae13cc106"/>
    <x v="0"/>
    <x v="3"/>
    <x v="1"/>
    <x v="3"/>
    <x v="3"/>
    <n v="4"/>
    <x v="13"/>
    <x v="2"/>
    <x v="5"/>
    <x v="0"/>
    <x v="11"/>
  </r>
  <r>
    <s v="0f257e4c-3331-4e0e-869e-42c5a332a2a1"/>
    <x v="0"/>
    <x v="4"/>
    <x v="1"/>
    <x v="4"/>
    <x v="0"/>
    <n v="1"/>
    <x v="0"/>
    <x v="0"/>
    <x v="0"/>
    <x v="0"/>
    <x v="0"/>
  </r>
  <r>
    <s v="e09f74db-f923-4e51-8bce-340da723f0cc"/>
    <x v="0"/>
    <x v="4"/>
    <x v="1"/>
    <x v="4"/>
    <x v="0"/>
    <n v="2"/>
    <x v="1"/>
    <x v="15"/>
    <x v="14"/>
    <x v="0"/>
    <x v="15"/>
  </r>
  <r>
    <s v="8e4d74fa-ec72-4872-a04b-81c46e2fbd96"/>
    <x v="0"/>
    <x v="4"/>
    <x v="1"/>
    <x v="4"/>
    <x v="0"/>
    <n v="3"/>
    <x v="2"/>
    <x v="2"/>
    <x v="2"/>
    <x v="1"/>
    <x v="2"/>
  </r>
  <r>
    <s v="1c9d267f-bb28-462a-9b6c-10633cc45e36"/>
    <x v="0"/>
    <x v="4"/>
    <x v="1"/>
    <x v="4"/>
    <x v="1"/>
    <n v="1"/>
    <x v="3"/>
    <x v="3"/>
    <x v="3"/>
    <x v="0"/>
    <x v="3"/>
  </r>
  <r>
    <s v="9d4e93ec-8103-4ec7-94d4-480e0647a578"/>
    <x v="0"/>
    <x v="4"/>
    <x v="1"/>
    <x v="4"/>
    <x v="1"/>
    <n v="2"/>
    <x v="4"/>
    <x v="4"/>
    <x v="4"/>
    <x v="0"/>
    <x v="4"/>
  </r>
  <r>
    <s v="652336e7-90e6-4346-a1db-9c99b994afe6"/>
    <x v="0"/>
    <x v="4"/>
    <x v="1"/>
    <x v="4"/>
    <x v="1"/>
    <n v="3"/>
    <x v="5"/>
    <x v="14"/>
    <x v="13"/>
    <x v="0"/>
    <x v="14"/>
  </r>
  <r>
    <s v="420d1c8b-349d-466e-9369-1ab30c465800"/>
    <x v="0"/>
    <x v="4"/>
    <x v="1"/>
    <x v="4"/>
    <x v="2"/>
    <n v="1"/>
    <x v="6"/>
    <x v="13"/>
    <x v="12"/>
    <x v="0"/>
    <x v="13"/>
  </r>
  <r>
    <s v="4c0d2b4b-0d3e-42de-af57-9305df4b2c02"/>
    <x v="0"/>
    <x v="4"/>
    <x v="1"/>
    <x v="4"/>
    <x v="2"/>
    <n v="2"/>
    <x v="7"/>
    <x v="7"/>
    <x v="7"/>
    <x v="0"/>
    <x v="7"/>
  </r>
  <r>
    <s v="ec860adc-defd-41d8-a89b-21d87b7ea128"/>
    <x v="0"/>
    <x v="4"/>
    <x v="1"/>
    <x v="4"/>
    <x v="2"/>
    <n v="3"/>
    <x v="8"/>
    <x v="0"/>
    <x v="0"/>
    <x v="0"/>
    <x v="0"/>
  </r>
  <r>
    <s v="f2b5f4e7-1f87-4e12-8e0e-4963e89c092a"/>
    <x v="0"/>
    <x v="4"/>
    <x v="1"/>
    <x v="4"/>
    <x v="2"/>
    <n v="4"/>
    <x v="9"/>
    <x v="8"/>
    <x v="2"/>
    <x v="0"/>
    <x v="2"/>
  </r>
  <r>
    <s v="16fbb6a2-d237-4dd2-8a6d-7bd76aa8645c"/>
    <x v="0"/>
    <x v="4"/>
    <x v="1"/>
    <x v="4"/>
    <x v="3"/>
    <n v="1"/>
    <x v="10"/>
    <x v="9"/>
    <x v="8"/>
    <x v="0"/>
    <x v="8"/>
  </r>
  <r>
    <s v="10424221-9e53-4f28-aea8-3549e2e43b87"/>
    <x v="0"/>
    <x v="4"/>
    <x v="1"/>
    <x v="4"/>
    <x v="3"/>
    <n v="2"/>
    <x v="11"/>
    <x v="10"/>
    <x v="9"/>
    <x v="0"/>
    <x v="9"/>
  </r>
  <r>
    <s v="bd3eeb6f-a14f-42cf-9deb-94f16f5eee70"/>
    <x v="0"/>
    <x v="4"/>
    <x v="1"/>
    <x v="4"/>
    <x v="3"/>
    <n v="3"/>
    <x v="12"/>
    <x v="11"/>
    <x v="10"/>
    <x v="0"/>
    <x v="10"/>
  </r>
  <r>
    <s v="8dc982a8-8e30-4eb7-905c-fb55c4175ca4"/>
    <x v="0"/>
    <x v="4"/>
    <x v="1"/>
    <x v="4"/>
    <x v="3"/>
    <n v="4"/>
    <x v="13"/>
    <x v="2"/>
    <x v="5"/>
    <x v="0"/>
    <x v="11"/>
  </r>
  <r>
    <s v="0f257e4c-3331-4e0e-869e-42c5a332a2a1"/>
    <x v="0"/>
    <x v="5"/>
    <x v="1"/>
    <x v="5"/>
    <x v="0"/>
    <n v="1"/>
    <x v="0"/>
    <x v="0"/>
    <x v="0"/>
    <x v="0"/>
    <x v="0"/>
  </r>
  <r>
    <s v="0d8d157d-f9ab-4cd6-ac8a-7ed1a74a6746"/>
    <x v="0"/>
    <x v="5"/>
    <x v="1"/>
    <x v="5"/>
    <x v="0"/>
    <n v="2"/>
    <x v="1"/>
    <x v="15"/>
    <x v="14"/>
    <x v="0"/>
    <x v="15"/>
  </r>
  <r>
    <s v="8e4d74fa-ec72-4872-a04b-81c46e2fbd96"/>
    <x v="0"/>
    <x v="5"/>
    <x v="1"/>
    <x v="5"/>
    <x v="0"/>
    <n v="3"/>
    <x v="2"/>
    <x v="16"/>
    <x v="15"/>
    <x v="1"/>
    <x v="16"/>
  </r>
  <r>
    <s v="1c9d267f-bb28-462a-9b6c-10633cc45e36"/>
    <x v="0"/>
    <x v="5"/>
    <x v="1"/>
    <x v="5"/>
    <x v="1"/>
    <n v="1"/>
    <x v="3"/>
    <x v="3"/>
    <x v="3"/>
    <x v="0"/>
    <x v="3"/>
  </r>
  <r>
    <s v="9d4e93ec-8103-4ec7-94d4-480e0647a578"/>
    <x v="0"/>
    <x v="5"/>
    <x v="1"/>
    <x v="5"/>
    <x v="1"/>
    <n v="2"/>
    <x v="4"/>
    <x v="4"/>
    <x v="4"/>
    <x v="0"/>
    <x v="4"/>
  </r>
  <r>
    <s v="652336e7-90e6-4346-a1db-9c99b994afe6"/>
    <x v="0"/>
    <x v="5"/>
    <x v="1"/>
    <x v="5"/>
    <x v="1"/>
    <n v="3"/>
    <x v="5"/>
    <x v="14"/>
    <x v="13"/>
    <x v="0"/>
    <x v="14"/>
  </r>
  <r>
    <s v="420d1c8b-349d-466e-9369-1ab30c465800"/>
    <x v="0"/>
    <x v="5"/>
    <x v="1"/>
    <x v="5"/>
    <x v="2"/>
    <n v="1"/>
    <x v="6"/>
    <x v="13"/>
    <x v="12"/>
    <x v="0"/>
    <x v="13"/>
  </r>
  <r>
    <s v="4c0d2b4b-0d3e-42de-af57-9305df4b2c02"/>
    <x v="0"/>
    <x v="5"/>
    <x v="1"/>
    <x v="5"/>
    <x v="2"/>
    <n v="2"/>
    <x v="7"/>
    <x v="7"/>
    <x v="7"/>
    <x v="0"/>
    <x v="7"/>
  </r>
  <r>
    <s v="ec860adc-defd-41d8-a89b-21d87b7ea128"/>
    <x v="0"/>
    <x v="5"/>
    <x v="1"/>
    <x v="5"/>
    <x v="2"/>
    <n v="3"/>
    <x v="8"/>
    <x v="0"/>
    <x v="0"/>
    <x v="0"/>
    <x v="0"/>
  </r>
  <r>
    <s v="f2b5f4e7-1f87-4e12-8e0e-4963e89c092a"/>
    <x v="0"/>
    <x v="5"/>
    <x v="1"/>
    <x v="5"/>
    <x v="2"/>
    <n v="4"/>
    <x v="9"/>
    <x v="8"/>
    <x v="2"/>
    <x v="0"/>
    <x v="2"/>
  </r>
  <r>
    <s v="16fbb6a2-d237-4dd2-8a6d-7bd76aa8645c"/>
    <x v="0"/>
    <x v="5"/>
    <x v="1"/>
    <x v="5"/>
    <x v="3"/>
    <n v="1"/>
    <x v="10"/>
    <x v="17"/>
    <x v="16"/>
    <x v="0"/>
    <x v="17"/>
  </r>
  <r>
    <s v="10424221-9e53-4f28-aea8-3549e2e43b87"/>
    <x v="0"/>
    <x v="5"/>
    <x v="1"/>
    <x v="5"/>
    <x v="3"/>
    <n v="2"/>
    <x v="11"/>
    <x v="10"/>
    <x v="9"/>
    <x v="0"/>
    <x v="9"/>
  </r>
  <r>
    <s v="bd3eeb6f-a14f-42cf-9deb-94f16f5eee70"/>
    <x v="0"/>
    <x v="5"/>
    <x v="1"/>
    <x v="5"/>
    <x v="3"/>
    <n v="3"/>
    <x v="12"/>
    <x v="11"/>
    <x v="10"/>
    <x v="0"/>
    <x v="10"/>
  </r>
  <r>
    <s v="8dc982a8-8e30-4eb7-905c-fb55c4175ca4"/>
    <x v="0"/>
    <x v="5"/>
    <x v="1"/>
    <x v="5"/>
    <x v="3"/>
    <n v="4"/>
    <x v="13"/>
    <x v="2"/>
    <x v="5"/>
    <x v="0"/>
    <x v="11"/>
  </r>
  <r>
    <s v="0f257e4c-3331-4e0e-869e-42c5a332a2a1"/>
    <x v="0"/>
    <x v="6"/>
    <x v="1"/>
    <x v="6"/>
    <x v="0"/>
    <n v="1"/>
    <x v="0"/>
    <x v="0"/>
    <x v="0"/>
    <x v="0"/>
    <x v="0"/>
  </r>
  <r>
    <s v="0d8d157d-f9ab-4cd6-ac8a-7ed1a74a6746"/>
    <x v="0"/>
    <x v="6"/>
    <x v="1"/>
    <x v="6"/>
    <x v="0"/>
    <n v="2"/>
    <x v="1"/>
    <x v="15"/>
    <x v="14"/>
    <x v="0"/>
    <x v="15"/>
  </r>
  <r>
    <s v="3222d3e6-2b5b-4103-bc55-29e39c33ca84"/>
    <x v="0"/>
    <x v="6"/>
    <x v="1"/>
    <x v="6"/>
    <x v="0"/>
    <n v="3"/>
    <x v="2"/>
    <x v="16"/>
    <x v="15"/>
    <x v="1"/>
    <x v="16"/>
  </r>
  <r>
    <s v="e725ef85-824a-4f9c-b7c6-445df4612ef0"/>
    <x v="0"/>
    <x v="6"/>
    <x v="1"/>
    <x v="6"/>
    <x v="1"/>
    <n v="2"/>
    <x v="4"/>
    <x v="4"/>
    <x v="4"/>
    <x v="0"/>
    <x v="4"/>
  </r>
  <r>
    <s v="652336e7-90e6-4346-a1db-9c99b994afe6"/>
    <x v="0"/>
    <x v="6"/>
    <x v="1"/>
    <x v="6"/>
    <x v="1"/>
    <n v="3"/>
    <x v="5"/>
    <x v="14"/>
    <x v="13"/>
    <x v="0"/>
    <x v="14"/>
  </r>
  <r>
    <s v="420d1c8b-349d-466e-9369-1ab30c465800"/>
    <x v="0"/>
    <x v="6"/>
    <x v="1"/>
    <x v="6"/>
    <x v="2"/>
    <n v="1"/>
    <x v="6"/>
    <x v="13"/>
    <x v="12"/>
    <x v="0"/>
    <x v="13"/>
  </r>
  <r>
    <s v="4c0d2b4b-0d3e-42de-af57-9305df4b2c02"/>
    <x v="0"/>
    <x v="6"/>
    <x v="1"/>
    <x v="6"/>
    <x v="2"/>
    <n v="2"/>
    <x v="7"/>
    <x v="7"/>
    <x v="7"/>
    <x v="0"/>
    <x v="7"/>
  </r>
  <r>
    <s v="ae88cdb7-93b0-42cd-bda5-e4576643e9c7"/>
    <x v="0"/>
    <x v="6"/>
    <x v="1"/>
    <x v="6"/>
    <x v="2"/>
    <n v="3"/>
    <x v="8"/>
    <x v="0"/>
    <x v="0"/>
    <x v="0"/>
    <x v="0"/>
  </r>
  <r>
    <s v="01fb67ad-1898-47db-a814-5a658a723a89"/>
    <x v="0"/>
    <x v="6"/>
    <x v="1"/>
    <x v="6"/>
    <x v="3"/>
    <n v="1"/>
    <x v="10"/>
    <x v="17"/>
    <x v="16"/>
    <x v="0"/>
    <x v="17"/>
  </r>
  <r>
    <s v="10424221-9e53-4f28-aea8-3549e2e43b87"/>
    <x v="0"/>
    <x v="6"/>
    <x v="1"/>
    <x v="6"/>
    <x v="3"/>
    <n v="2"/>
    <x v="11"/>
    <x v="10"/>
    <x v="9"/>
    <x v="0"/>
    <x v="9"/>
  </r>
  <r>
    <s v="bd3eeb6f-a14f-42cf-9deb-94f16f5eee70"/>
    <x v="0"/>
    <x v="6"/>
    <x v="1"/>
    <x v="6"/>
    <x v="3"/>
    <n v="3"/>
    <x v="12"/>
    <x v="11"/>
    <x v="10"/>
    <x v="0"/>
    <x v="10"/>
  </r>
  <r>
    <s v="8dc982a8-8e30-4eb7-905c-fb55c4175ca4"/>
    <x v="0"/>
    <x v="6"/>
    <x v="1"/>
    <x v="6"/>
    <x v="3"/>
    <n v="4"/>
    <x v="13"/>
    <x v="2"/>
    <x v="5"/>
    <x v="0"/>
    <x v="11"/>
  </r>
  <r>
    <s v="0f257e4c-3331-4e0e-869e-42c5a332a2a1"/>
    <x v="0"/>
    <x v="7"/>
    <x v="1"/>
    <x v="7"/>
    <x v="0"/>
    <n v="1"/>
    <x v="0"/>
    <x v="0"/>
    <x v="0"/>
    <x v="0"/>
    <x v="0"/>
  </r>
  <r>
    <s v="0d8d157d-f9ab-4cd6-ac8a-7ed1a74a6746"/>
    <x v="0"/>
    <x v="7"/>
    <x v="1"/>
    <x v="7"/>
    <x v="0"/>
    <n v="2"/>
    <x v="1"/>
    <x v="15"/>
    <x v="14"/>
    <x v="0"/>
    <x v="15"/>
  </r>
  <r>
    <s v="3222d3e6-2b5b-4103-bc55-29e39c33ca84"/>
    <x v="0"/>
    <x v="7"/>
    <x v="1"/>
    <x v="7"/>
    <x v="0"/>
    <n v="3"/>
    <x v="2"/>
    <x v="16"/>
    <x v="15"/>
    <x v="1"/>
    <x v="16"/>
  </r>
  <r>
    <s v="1f5eb474-0cc5-4f59-bde6-8b6fb39d4b29"/>
    <x v="0"/>
    <x v="7"/>
    <x v="1"/>
    <x v="7"/>
    <x v="1"/>
    <n v="1"/>
    <x v="14"/>
    <x v="18"/>
    <x v="17"/>
    <x v="0"/>
    <x v="18"/>
  </r>
  <r>
    <s v="e725ef85-824a-4f9c-b7c6-445df4612ef0"/>
    <x v="0"/>
    <x v="7"/>
    <x v="1"/>
    <x v="7"/>
    <x v="1"/>
    <n v="2"/>
    <x v="4"/>
    <x v="4"/>
    <x v="4"/>
    <x v="0"/>
    <x v="4"/>
  </r>
  <r>
    <s v="652336e7-90e6-4346-a1db-9c99b994afe6"/>
    <x v="0"/>
    <x v="7"/>
    <x v="1"/>
    <x v="7"/>
    <x v="1"/>
    <n v="3"/>
    <x v="5"/>
    <x v="14"/>
    <x v="13"/>
    <x v="0"/>
    <x v="14"/>
  </r>
  <r>
    <s v="420d1c8b-349d-466e-9369-1ab30c465800"/>
    <x v="0"/>
    <x v="7"/>
    <x v="1"/>
    <x v="7"/>
    <x v="2"/>
    <n v="1"/>
    <x v="6"/>
    <x v="13"/>
    <x v="12"/>
    <x v="0"/>
    <x v="13"/>
  </r>
  <r>
    <s v="4c0d2b4b-0d3e-42de-af57-9305df4b2c02"/>
    <x v="0"/>
    <x v="7"/>
    <x v="1"/>
    <x v="7"/>
    <x v="2"/>
    <n v="2"/>
    <x v="7"/>
    <x v="7"/>
    <x v="7"/>
    <x v="0"/>
    <x v="7"/>
  </r>
  <r>
    <s v="ae88cdb7-93b0-42cd-bda5-e4576643e9c7"/>
    <x v="0"/>
    <x v="7"/>
    <x v="1"/>
    <x v="7"/>
    <x v="2"/>
    <n v="3"/>
    <x v="8"/>
    <x v="0"/>
    <x v="0"/>
    <x v="0"/>
    <x v="0"/>
  </r>
  <r>
    <s v="01fb67ad-1898-47db-a814-5a658a723a89"/>
    <x v="0"/>
    <x v="7"/>
    <x v="1"/>
    <x v="7"/>
    <x v="3"/>
    <n v="1"/>
    <x v="10"/>
    <x v="17"/>
    <x v="16"/>
    <x v="0"/>
    <x v="17"/>
  </r>
  <r>
    <s v="10424221-9e53-4f28-aea8-3549e2e43b87"/>
    <x v="0"/>
    <x v="7"/>
    <x v="1"/>
    <x v="7"/>
    <x v="3"/>
    <n v="2"/>
    <x v="11"/>
    <x v="10"/>
    <x v="9"/>
    <x v="0"/>
    <x v="9"/>
  </r>
  <r>
    <s v="bd3eeb6f-a14f-42cf-9deb-94f16f5eee70"/>
    <x v="0"/>
    <x v="7"/>
    <x v="1"/>
    <x v="7"/>
    <x v="3"/>
    <n v="3"/>
    <x v="12"/>
    <x v="11"/>
    <x v="10"/>
    <x v="0"/>
    <x v="10"/>
  </r>
  <r>
    <s v="8dc982a8-8e30-4eb7-905c-fb55c4175ca4"/>
    <x v="0"/>
    <x v="7"/>
    <x v="1"/>
    <x v="7"/>
    <x v="3"/>
    <n v="4"/>
    <x v="13"/>
    <x v="2"/>
    <x v="5"/>
    <x v="0"/>
    <x v="11"/>
  </r>
  <r>
    <s v="0f257e4c-3331-4e0e-869e-42c5a332a2a1"/>
    <x v="0"/>
    <x v="8"/>
    <x v="1"/>
    <x v="8"/>
    <x v="0"/>
    <n v="1"/>
    <x v="0"/>
    <x v="0"/>
    <x v="0"/>
    <x v="0"/>
    <x v="0"/>
  </r>
  <r>
    <s v="0d8d157d-f9ab-4cd6-ac8a-7ed1a74a6746"/>
    <x v="0"/>
    <x v="8"/>
    <x v="1"/>
    <x v="8"/>
    <x v="0"/>
    <n v="2"/>
    <x v="1"/>
    <x v="15"/>
    <x v="14"/>
    <x v="0"/>
    <x v="15"/>
  </r>
  <r>
    <s v="3222d3e6-2b5b-4103-bc55-29e39c33ca84"/>
    <x v="0"/>
    <x v="8"/>
    <x v="1"/>
    <x v="8"/>
    <x v="0"/>
    <n v="3"/>
    <x v="2"/>
    <x v="16"/>
    <x v="15"/>
    <x v="1"/>
    <x v="16"/>
  </r>
  <r>
    <s v="1f5eb474-0cc5-4f59-bde6-8b6fb39d4b29"/>
    <x v="0"/>
    <x v="8"/>
    <x v="1"/>
    <x v="8"/>
    <x v="1"/>
    <n v="1"/>
    <x v="14"/>
    <x v="18"/>
    <x v="17"/>
    <x v="0"/>
    <x v="18"/>
  </r>
  <r>
    <s v="e725ef85-824a-4f9c-b7c6-445df4612ef0"/>
    <x v="0"/>
    <x v="8"/>
    <x v="1"/>
    <x v="8"/>
    <x v="1"/>
    <n v="2"/>
    <x v="4"/>
    <x v="4"/>
    <x v="4"/>
    <x v="0"/>
    <x v="4"/>
  </r>
  <r>
    <s v="652336e7-90e6-4346-a1db-9c99b994afe6"/>
    <x v="0"/>
    <x v="8"/>
    <x v="1"/>
    <x v="8"/>
    <x v="1"/>
    <n v="3"/>
    <x v="5"/>
    <x v="14"/>
    <x v="13"/>
    <x v="0"/>
    <x v="14"/>
  </r>
  <r>
    <s v="02c61008-4e84-43c2-88b5-08e054eb6049"/>
    <x v="0"/>
    <x v="8"/>
    <x v="1"/>
    <x v="8"/>
    <x v="2"/>
    <n v="1"/>
    <x v="15"/>
    <x v="19"/>
    <x v="18"/>
    <x v="0"/>
    <x v="19"/>
  </r>
  <r>
    <s v="359216a7-8ba9-4e24-8cac-7dc225c9d6e1"/>
    <x v="0"/>
    <x v="8"/>
    <x v="1"/>
    <x v="8"/>
    <x v="2"/>
    <n v="2"/>
    <x v="7"/>
    <x v="7"/>
    <x v="7"/>
    <x v="0"/>
    <x v="7"/>
  </r>
  <r>
    <s v="ae88cdb7-93b0-42cd-bda5-e4576643e9c7"/>
    <x v="0"/>
    <x v="8"/>
    <x v="1"/>
    <x v="8"/>
    <x v="2"/>
    <n v="3"/>
    <x v="8"/>
    <x v="0"/>
    <x v="0"/>
    <x v="0"/>
    <x v="0"/>
  </r>
  <r>
    <s v="b934fcd1-5390-4b7c-b3bc-4a642a1d7f9e"/>
    <x v="0"/>
    <x v="8"/>
    <x v="1"/>
    <x v="8"/>
    <x v="2"/>
    <n v="4"/>
    <x v="16"/>
    <x v="11"/>
    <x v="10"/>
    <x v="0"/>
    <x v="10"/>
  </r>
  <r>
    <s v="01fb67ad-1898-47db-a814-5a658a723a89"/>
    <x v="0"/>
    <x v="8"/>
    <x v="1"/>
    <x v="8"/>
    <x v="3"/>
    <n v="1"/>
    <x v="10"/>
    <x v="17"/>
    <x v="16"/>
    <x v="0"/>
    <x v="17"/>
  </r>
  <r>
    <s v="10959edc-7e2c-4e4e-b5ee-d6bdac93ae9e"/>
    <x v="0"/>
    <x v="8"/>
    <x v="1"/>
    <x v="8"/>
    <x v="3"/>
    <n v="2"/>
    <x v="11"/>
    <x v="10"/>
    <x v="9"/>
    <x v="0"/>
    <x v="9"/>
  </r>
  <r>
    <s v="8dc982a8-8e30-4eb7-905c-fb55c4175ca4"/>
    <x v="0"/>
    <x v="8"/>
    <x v="1"/>
    <x v="8"/>
    <x v="3"/>
    <n v="4"/>
    <x v="13"/>
    <x v="2"/>
    <x v="10"/>
    <x v="0"/>
    <x v="20"/>
  </r>
  <r>
    <s v="0f257e4c-3331-4e0e-869e-42c5a332a2a1"/>
    <x v="0"/>
    <x v="9"/>
    <x v="1"/>
    <x v="9"/>
    <x v="0"/>
    <n v="1"/>
    <x v="0"/>
    <x v="20"/>
    <x v="19"/>
    <x v="0"/>
    <x v="21"/>
  </r>
  <r>
    <s v="0d8d157d-f9ab-4cd6-ac8a-7ed1a74a6746"/>
    <x v="0"/>
    <x v="9"/>
    <x v="1"/>
    <x v="9"/>
    <x v="0"/>
    <n v="2"/>
    <x v="1"/>
    <x v="15"/>
    <x v="14"/>
    <x v="0"/>
    <x v="15"/>
  </r>
  <r>
    <s v="3222d3e6-2b5b-4103-bc55-29e39c33ca84"/>
    <x v="0"/>
    <x v="9"/>
    <x v="1"/>
    <x v="9"/>
    <x v="0"/>
    <n v="3"/>
    <x v="2"/>
    <x v="16"/>
    <x v="15"/>
    <x v="1"/>
    <x v="16"/>
  </r>
  <r>
    <s v="1f5eb474-0cc5-4f59-bde6-8b6fb39d4b29"/>
    <x v="0"/>
    <x v="9"/>
    <x v="1"/>
    <x v="9"/>
    <x v="1"/>
    <n v="1"/>
    <x v="14"/>
    <x v="18"/>
    <x v="17"/>
    <x v="0"/>
    <x v="18"/>
  </r>
  <r>
    <s v="e725ef85-824a-4f9c-b7c6-445df4612ef0"/>
    <x v="0"/>
    <x v="9"/>
    <x v="1"/>
    <x v="9"/>
    <x v="1"/>
    <n v="2"/>
    <x v="4"/>
    <x v="4"/>
    <x v="4"/>
    <x v="0"/>
    <x v="4"/>
  </r>
  <r>
    <s v="652336e7-90e6-4346-a1db-9c99b994afe6"/>
    <x v="0"/>
    <x v="9"/>
    <x v="1"/>
    <x v="9"/>
    <x v="1"/>
    <n v="3"/>
    <x v="5"/>
    <x v="14"/>
    <x v="13"/>
    <x v="0"/>
    <x v="14"/>
  </r>
  <r>
    <s v="02c61008-4e84-43c2-88b5-08e054eb6049"/>
    <x v="0"/>
    <x v="9"/>
    <x v="1"/>
    <x v="9"/>
    <x v="2"/>
    <n v="1"/>
    <x v="15"/>
    <x v="19"/>
    <x v="18"/>
    <x v="0"/>
    <x v="19"/>
  </r>
  <r>
    <s v="359216a7-8ba9-4e24-8cac-7dc225c9d6e1"/>
    <x v="0"/>
    <x v="9"/>
    <x v="1"/>
    <x v="9"/>
    <x v="2"/>
    <n v="2"/>
    <x v="7"/>
    <x v="21"/>
    <x v="20"/>
    <x v="0"/>
    <x v="22"/>
  </r>
  <r>
    <s v="ae88cdb7-93b0-42cd-bda5-e4576643e9c7"/>
    <x v="0"/>
    <x v="9"/>
    <x v="1"/>
    <x v="9"/>
    <x v="2"/>
    <n v="3"/>
    <x v="8"/>
    <x v="0"/>
    <x v="0"/>
    <x v="0"/>
    <x v="0"/>
  </r>
  <r>
    <s v="b934fcd1-5390-4b7c-b3bc-4a642a1d7f9e"/>
    <x v="0"/>
    <x v="9"/>
    <x v="1"/>
    <x v="9"/>
    <x v="2"/>
    <n v="4"/>
    <x v="16"/>
    <x v="11"/>
    <x v="10"/>
    <x v="0"/>
    <x v="10"/>
  </r>
  <r>
    <s v="01fb67ad-1898-47db-a814-5a658a723a89"/>
    <x v="0"/>
    <x v="9"/>
    <x v="1"/>
    <x v="9"/>
    <x v="3"/>
    <n v="1"/>
    <x v="10"/>
    <x v="17"/>
    <x v="16"/>
    <x v="0"/>
    <x v="17"/>
  </r>
  <r>
    <s v="10959edc-7e2c-4e4e-b5ee-d6bdac93ae9e"/>
    <x v="0"/>
    <x v="9"/>
    <x v="1"/>
    <x v="9"/>
    <x v="3"/>
    <n v="2"/>
    <x v="11"/>
    <x v="22"/>
    <x v="21"/>
    <x v="0"/>
    <x v="23"/>
  </r>
  <r>
    <s v="2aaff763-f744-410b-9718-249c5a655998"/>
    <x v="0"/>
    <x v="9"/>
    <x v="1"/>
    <x v="9"/>
    <x v="3"/>
    <n v="3"/>
    <x v="17"/>
    <x v="23"/>
    <x v="22"/>
    <x v="1"/>
    <x v="24"/>
  </r>
  <r>
    <s v="2aaff763-f744-410b-9718-249c5a655998"/>
    <x v="1"/>
    <x v="9"/>
    <x v="1"/>
    <x v="9"/>
    <x v="3"/>
    <n v="3"/>
    <x v="17"/>
    <x v="24"/>
    <x v="11"/>
    <x v="1"/>
    <x v="25"/>
  </r>
  <r>
    <s v="8dc982a8-8e30-4eb7-905c-fb55c4175ca4"/>
    <x v="0"/>
    <x v="9"/>
    <x v="1"/>
    <x v="9"/>
    <x v="3"/>
    <n v="4"/>
    <x v="13"/>
    <x v="16"/>
    <x v="23"/>
    <x v="0"/>
    <x v="26"/>
  </r>
  <r>
    <s v="3dcc043e-cebd-4562-843a-73004bc5a5fb"/>
    <x v="0"/>
    <x v="10"/>
    <x v="1"/>
    <x v="10"/>
    <x v="0"/>
    <n v="1"/>
    <x v="0"/>
    <x v="20"/>
    <x v="19"/>
    <x v="0"/>
    <x v="21"/>
  </r>
  <r>
    <s v="0d8d157d-f9ab-4cd6-ac8a-7ed1a74a6746"/>
    <x v="0"/>
    <x v="10"/>
    <x v="1"/>
    <x v="10"/>
    <x v="0"/>
    <n v="2"/>
    <x v="1"/>
    <x v="15"/>
    <x v="14"/>
    <x v="0"/>
    <x v="15"/>
  </r>
  <r>
    <s v="3222d3e6-2b5b-4103-bc55-29e39c33ca84"/>
    <x v="0"/>
    <x v="10"/>
    <x v="1"/>
    <x v="10"/>
    <x v="0"/>
    <n v="3"/>
    <x v="2"/>
    <x v="16"/>
    <x v="15"/>
    <x v="1"/>
    <x v="16"/>
  </r>
  <r>
    <s v="1f5eb474-0cc5-4f59-bde6-8b6fb39d4b29"/>
    <x v="0"/>
    <x v="10"/>
    <x v="1"/>
    <x v="10"/>
    <x v="1"/>
    <n v="1"/>
    <x v="14"/>
    <x v="18"/>
    <x v="17"/>
    <x v="0"/>
    <x v="18"/>
  </r>
  <r>
    <s v="e725ef85-824a-4f9c-b7c6-445df4612ef0"/>
    <x v="0"/>
    <x v="10"/>
    <x v="1"/>
    <x v="10"/>
    <x v="1"/>
    <n v="2"/>
    <x v="4"/>
    <x v="4"/>
    <x v="4"/>
    <x v="0"/>
    <x v="4"/>
  </r>
  <r>
    <s v="2eb39786-09e7-4dd1-ae3f-137c5bc86751"/>
    <x v="0"/>
    <x v="10"/>
    <x v="1"/>
    <x v="10"/>
    <x v="1"/>
    <n v="3"/>
    <x v="5"/>
    <x v="14"/>
    <x v="13"/>
    <x v="0"/>
    <x v="14"/>
  </r>
  <r>
    <s v="02c61008-4e84-43c2-88b5-08e054eb6049"/>
    <x v="0"/>
    <x v="10"/>
    <x v="1"/>
    <x v="10"/>
    <x v="2"/>
    <n v="1"/>
    <x v="15"/>
    <x v="19"/>
    <x v="18"/>
    <x v="0"/>
    <x v="19"/>
  </r>
  <r>
    <s v="359216a7-8ba9-4e24-8cac-7dc225c9d6e1"/>
    <x v="0"/>
    <x v="10"/>
    <x v="1"/>
    <x v="10"/>
    <x v="2"/>
    <n v="2"/>
    <x v="7"/>
    <x v="21"/>
    <x v="20"/>
    <x v="0"/>
    <x v="22"/>
  </r>
  <r>
    <s v="ae88cdb7-93b0-42cd-bda5-e4576643e9c7"/>
    <x v="0"/>
    <x v="10"/>
    <x v="1"/>
    <x v="10"/>
    <x v="2"/>
    <n v="3"/>
    <x v="8"/>
    <x v="0"/>
    <x v="0"/>
    <x v="0"/>
    <x v="0"/>
  </r>
  <r>
    <s v="b934fcd1-5390-4b7c-b3bc-4a642a1d7f9e"/>
    <x v="0"/>
    <x v="10"/>
    <x v="1"/>
    <x v="10"/>
    <x v="2"/>
    <n v="4"/>
    <x v="16"/>
    <x v="11"/>
    <x v="10"/>
    <x v="0"/>
    <x v="10"/>
  </r>
  <r>
    <s v="01fb67ad-1898-47db-a814-5a658a723a89"/>
    <x v="0"/>
    <x v="10"/>
    <x v="1"/>
    <x v="10"/>
    <x v="3"/>
    <n v="1"/>
    <x v="10"/>
    <x v="17"/>
    <x v="16"/>
    <x v="0"/>
    <x v="17"/>
  </r>
  <r>
    <s v="10959edc-7e2c-4e4e-b5ee-d6bdac93ae9e"/>
    <x v="0"/>
    <x v="10"/>
    <x v="1"/>
    <x v="10"/>
    <x v="3"/>
    <n v="2"/>
    <x v="11"/>
    <x v="22"/>
    <x v="21"/>
    <x v="0"/>
    <x v="23"/>
  </r>
  <r>
    <s v="2aaff763-f744-410b-9718-249c5a655998"/>
    <x v="0"/>
    <x v="10"/>
    <x v="1"/>
    <x v="10"/>
    <x v="3"/>
    <n v="3"/>
    <x v="17"/>
    <x v="23"/>
    <x v="22"/>
    <x v="1"/>
    <x v="24"/>
  </r>
  <r>
    <s v="1138e6b0-3b54-4f90-9461-f8f76393e615"/>
    <x v="0"/>
    <x v="10"/>
    <x v="1"/>
    <x v="10"/>
    <x v="3"/>
    <n v="4"/>
    <x v="13"/>
    <x v="16"/>
    <x v="23"/>
    <x v="0"/>
    <x v="26"/>
  </r>
  <r>
    <s v="3dcc043e-cebd-4562-843a-73004bc5a5fb"/>
    <x v="0"/>
    <x v="11"/>
    <x v="1"/>
    <x v="11"/>
    <x v="0"/>
    <n v="1"/>
    <x v="0"/>
    <x v="20"/>
    <x v="24"/>
    <x v="0"/>
    <x v="27"/>
  </r>
  <r>
    <s v="e39b3e8a-33b6-49ac-8fe8-f4ed22ad8b90"/>
    <x v="0"/>
    <x v="11"/>
    <x v="1"/>
    <x v="11"/>
    <x v="0"/>
    <n v="2"/>
    <x v="1"/>
    <x v="15"/>
    <x v="14"/>
    <x v="0"/>
    <x v="15"/>
  </r>
  <r>
    <s v="3222d3e6-2b5b-4103-bc55-29e39c33ca84"/>
    <x v="0"/>
    <x v="11"/>
    <x v="1"/>
    <x v="11"/>
    <x v="0"/>
    <n v="3"/>
    <x v="2"/>
    <x v="16"/>
    <x v="15"/>
    <x v="1"/>
    <x v="16"/>
  </r>
  <r>
    <s v="1f5eb474-0cc5-4f59-bde6-8b6fb39d4b29"/>
    <x v="0"/>
    <x v="11"/>
    <x v="1"/>
    <x v="11"/>
    <x v="1"/>
    <n v="1"/>
    <x v="14"/>
    <x v="18"/>
    <x v="17"/>
    <x v="0"/>
    <x v="18"/>
  </r>
  <r>
    <s v="2eb39786-09e7-4dd1-ae3f-137c5bc86751"/>
    <x v="0"/>
    <x v="11"/>
    <x v="1"/>
    <x v="11"/>
    <x v="1"/>
    <n v="3"/>
    <x v="5"/>
    <x v="14"/>
    <x v="13"/>
    <x v="0"/>
    <x v="14"/>
  </r>
  <r>
    <s v="02c61008-4e84-43c2-88b5-08e054eb6049"/>
    <x v="0"/>
    <x v="11"/>
    <x v="1"/>
    <x v="11"/>
    <x v="2"/>
    <n v="1"/>
    <x v="15"/>
    <x v="19"/>
    <x v="18"/>
    <x v="0"/>
    <x v="19"/>
  </r>
  <r>
    <s v="359216a7-8ba9-4e24-8cac-7dc225c9d6e1"/>
    <x v="0"/>
    <x v="11"/>
    <x v="1"/>
    <x v="11"/>
    <x v="2"/>
    <n v="2"/>
    <x v="7"/>
    <x v="21"/>
    <x v="20"/>
    <x v="0"/>
    <x v="22"/>
  </r>
  <r>
    <s v="7366f152-e5d2-44a3-8beb-4d85e5905cbc"/>
    <x v="0"/>
    <x v="11"/>
    <x v="1"/>
    <x v="11"/>
    <x v="2"/>
    <n v="3"/>
    <x v="18"/>
    <x v="25"/>
    <x v="25"/>
    <x v="0"/>
    <x v="28"/>
  </r>
  <r>
    <s v="b934fcd1-5390-4b7c-b3bc-4a642a1d7f9e"/>
    <x v="0"/>
    <x v="11"/>
    <x v="1"/>
    <x v="11"/>
    <x v="2"/>
    <n v="4"/>
    <x v="16"/>
    <x v="11"/>
    <x v="10"/>
    <x v="0"/>
    <x v="10"/>
  </r>
  <r>
    <s v="01fb67ad-1898-47db-a814-5a658a723a89"/>
    <x v="0"/>
    <x v="11"/>
    <x v="1"/>
    <x v="11"/>
    <x v="3"/>
    <n v="1"/>
    <x v="10"/>
    <x v="17"/>
    <x v="16"/>
    <x v="0"/>
    <x v="17"/>
  </r>
  <r>
    <s v="10959edc-7e2c-4e4e-b5ee-d6bdac93ae9e"/>
    <x v="0"/>
    <x v="11"/>
    <x v="1"/>
    <x v="11"/>
    <x v="3"/>
    <n v="2"/>
    <x v="11"/>
    <x v="22"/>
    <x v="21"/>
    <x v="0"/>
    <x v="23"/>
  </r>
  <r>
    <s v="2aaff763-f744-410b-9718-249c5a655998"/>
    <x v="0"/>
    <x v="11"/>
    <x v="1"/>
    <x v="11"/>
    <x v="3"/>
    <n v="3"/>
    <x v="17"/>
    <x v="23"/>
    <x v="22"/>
    <x v="0"/>
    <x v="29"/>
  </r>
  <r>
    <s v="1138e6b0-3b54-4f90-9461-f8f76393e615"/>
    <x v="0"/>
    <x v="11"/>
    <x v="1"/>
    <x v="11"/>
    <x v="3"/>
    <n v="4"/>
    <x v="13"/>
    <x v="16"/>
    <x v="23"/>
    <x v="0"/>
    <x v="26"/>
  </r>
  <r>
    <s v="3dcc043e-cebd-4562-843a-73004bc5a5fb"/>
    <x v="0"/>
    <x v="0"/>
    <x v="1"/>
    <x v="12"/>
    <x v="0"/>
    <n v="1"/>
    <x v="0"/>
    <x v="20"/>
    <x v="24"/>
    <x v="0"/>
    <x v="27"/>
  </r>
  <r>
    <s v="e39b3e8a-33b6-49ac-8fe8-f4ed22ad8b90"/>
    <x v="0"/>
    <x v="0"/>
    <x v="1"/>
    <x v="12"/>
    <x v="0"/>
    <n v="2"/>
    <x v="1"/>
    <x v="15"/>
    <x v="14"/>
    <x v="0"/>
    <x v="15"/>
  </r>
  <r>
    <s v="cac5cc64-81f9-466e-94ec-47be649d3deb"/>
    <x v="0"/>
    <x v="0"/>
    <x v="1"/>
    <x v="12"/>
    <x v="0"/>
    <n v="3"/>
    <x v="2"/>
    <x v="16"/>
    <x v="15"/>
    <x v="1"/>
    <x v="16"/>
  </r>
  <r>
    <s v="1f5eb474-0cc5-4f59-bde6-8b6fb39d4b29"/>
    <x v="0"/>
    <x v="0"/>
    <x v="1"/>
    <x v="12"/>
    <x v="1"/>
    <n v="1"/>
    <x v="14"/>
    <x v="18"/>
    <x v="17"/>
    <x v="0"/>
    <x v="18"/>
  </r>
  <r>
    <s v="4d99141d-777f-42b8-9171-236b233bb4bf"/>
    <x v="0"/>
    <x v="0"/>
    <x v="1"/>
    <x v="12"/>
    <x v="1"/>
    <n v="2"/>
    <x v="19"/>
    <x v="26"/>
    <x v="26"/>
    <x v="0"/>
    <x v="30"/>
  </r>
  <r>
    <s v="2eb39786-09e7-4dd1-ae3f-137c5bc86751"/>
    <x v="0"/>
    <x v="0"/>
    <x v="1"/>
    <x v="12"/>
    <x v="1"/>
    <n v="3"/>
    <x v="5"/>
    <x v="14"/>
    <x v="13"/>
    <x v="0"/>
    <x v="14"/>
  </r>
  <r>
    <s v="02c61008-4e84-43c2-88b5-08e054eb6049"/>
    <x v="0"/>
    <x v="0"/>
    <x v="1"/>
    <x v="12"/>
    <x v="2"/>
    <n v="1"/>
    <x v="15"/>
    <x v="19"/>
    <x v="18"/>
    <x v="0"/>
    <x v="19"/>
  </r>
  <r>
    <s v="359216a7-8ba9-4e24-8cac-7dc225c9d6e1"/>
    <x v="0"/>
    <x v="0"/>
    <x v="1"/>
    <x v="12"/>
    <x v="2"/>
    <n v="2"/>
    <x v="7"/>
    <x v="21"/>
    <x v="20"/>
    <x v="0"/>
    <x v="22"/>
  </r>
  <r>
    <s v="7366f152-e5d2-44a3-8beb-4d85e5905cbc"/>
    <x v="0"/>
    <x v="0"/>
    <x v="1"/>
    <x v="12"/>
    <x v="2"/>
    <n v="3"/>
    <x v="18"/>
    <x v="25"/>
    <x v="25"/>
    <x v="0"/>
    <x v="28"/>
  </r>
  <r>
    <s v="b934fcd1-5390-4b7c-b3bc-4a642a1d7f9e"/>
    <x v="0"/>
    <x v="0"/>
    <x v="1"/>
    <x v="12"/>
    <x v="2"/>
    <n v="4"/>
    <x v="16"/>
    <x v="11"/>
    <x v="10"/>
    <x v="0"/>
    <x v="10"/>
  </r>
  <r>
    <s v="40f08409-f7a6-467c-8e53-1f5a9a143a9f"/>
    <x v="0"/>
    <x v="0"/>
    <x v="1"/>
    <x v="12"/>
    <x v="3"/>
    <n v="1"/>
    <x v="10"/>
    <x v="27"/>
    <x v="27"/>
    <x v="0"/>
    <x v="31"/>
  </r>
  <r>
    <s v="10959edc-7e2c-4e4e-b5ee-d6bdac93ae9e"/>
    <x v="0"/>
    <x v="0"/>
    <x v="1"/>
    <x v="12"/>
    <x v="3"/>
    <n v="2"/>
    <x v="11"/>
    <x v="22"/>
    <x v="21"/>
    <x v="0"/>
    <x v="23"/>
  </r>
  <r>
    <s v="2aaff763-f744-410b-9718-249c5a655998"/>
    <x v="0"/>
    <x v="0"/>
    <x v="1"/>
    <x v="12"/>
    <x v="3"/>
    <n v="3"/>
    <x v="17"/>
    <x v="23"/>
    <x v="22"/>
    <x v="0"/>
    <x v="29"/>
  </r>
  <r>
    <s v="1138e6b0-3b54-4f90-9461-f8f76393e615"/>
    <x v="0"/>
    <x v="0"/>
    <x v="1"/>
    <x v="12"/>
    <x v="3"/>
    <n v="4"/>
    <x v="13"/>
    <x v="16"/>
    <x v="23"/>
    <x v="0"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40dcd0a-2212-45b3-b5d4-2aac8818bdf9"/>
    <x v="0"/>
    <s v="Edificio 1 gaitán"/>
    <n v="1"/>
    <x v="0"/>
    <x v="0"/>
    <x v="0"/>
  </r>
  <r>
    <s v="0f257e4c-3331-4e0e-869e-42c5a332a2a1"/>
    <x v="0"/>
    <s v="Edificio 1 gaitán"/>
    <n v="1"/>
    <x v="1"/>
    <x v="1"/>
    <x v="0"/>
  </r>
  <r>
    <s v="3dcc043e-cebd-4562-843a-73004bc5a5fb"/>
    <x v="0"/>
    <s v="Edificio 1 gaitán"/>
    <n v="1"/>
    <x v="2"/>
    <x v="2"/>
    <x v="1"/>
  </r>
  <r>
    <s v="ec860adc-defd-41d8-a89b-21d87b7ea128"/>
    <x v="1"/>
    <s v="Edificio 3 gaitán"/>
    <n v="3"/>
    <x v="3"/>
    <x v="3"/>
    <x v="0"/>
  </r>
  <r>
    <s v="ae88cdb7-93b0-42cd-bda5-e4576643e9c7"/>
    <x v="1"/>
    <s v="Edificio 3 gaitán"/>
    <n v="3"/>
    <x v="4"/>
    <x v="4"/>
    <x v="0"/>
  </r>
  <r>
    <s v="f60b893f-8aac-444a-b58c-711ee16b899d"/>
    <x v="2"/>
    <s v="Edificio 3 gaitán"/>
    <n v="2"/>
    <x v="5"/>
    <x v="5"/>
    <x v="0"/>
  </r>
  <r>
    <s v="4665eec5-beab-4ad7-94aa-2367bd5ad522"/>
    <x v="2"/>
    <s v="Edificio 3 gaitán"/>
    <n v="2"/>
    <x v="6"/>
    <x v="6"/>
    <x v="0"/>
  </r>
  <r>
    <s v="5c552dcf-ebef-4bfe-aee2-c4a6981c0f3a"/>
    <x v="2"/>
    <s v="Edificio 3 gaitán"/>
    <n v="2"/>
    <x v="7"/>
    <x v="7"/>
    <x v="0"/>
  </r>
  <r>
    <s v="4c0d2b4b-0d3e-42de-af57-9305df4b2c02"/>
    <x v="2"/>
    <s v="Edificio 3 gaitán"/>
    <n v="2"/>
    <x v="8"/>
    <x v="8"/>
    <x v="0"/>
  </r>
  <r>
    <s v="359216a7-8ba9-4e24-8cac-7dc225c9d6e1"/>
    <x v="2"/>
    <s v="Edificio 3 gaitán"/>
    <n v="2"/>
    <x v="9"/>
    <x v="9"/>
    <x v="1"/>
  </r>
  <r>
    <s v="4768bece-ab83-433d-8e6e-3a9988dd03b1"/>
    <x v="3"/>
    <s v="Edificio manantial"/>
    <n v="3"/>
    <x v="10"/>
    <x v="10"/>
    <x v="0"/>
  </r>
  <r>
    <s v="bd3eeb6f-a14f-42cf-9deb-94f16f5eee70"/>
    <x v="3"/>
    <s v="Edificio manantial"/>
    <n v="3"/>
    <x v="11"/>
    <x v="11"/>
    <x v="0"/>
  </r>
  <r>
    <s v="e6519542-cc79-4b71-bb1a-dedae13cc106"/>
    <x v="4"/>
    <s v="Edificio manantial"/>
    <n v="4"/>
    <x v="12"/>
    <x v="12"/>
    <x v="0"/>
  </r>
  <r>
    <s v="8dc982a8-8e30-4eb7-905c-fb55c4175ca4"/>
    <x v="4"/>
    <s v="Edificio manantial"/>
    <n v="4"/>
    <x v="13"/>
    <x v="13"/>
    <x v="0"/>
  </r>
  <r>
    <s v="1138e6b0-3b54-4f90-9461-f8f76393e615"/>
    <x v="4"/>
    <s v="Edificio manantial"/>
    <n v="4"/>
    <x v="14"/>
    <x v="14"/>
    <x v="1"/>
  </r>
  <r>
    <s v="4d99141d-777f-42b8-9171-236b233bb4bf"/>
    <x v="5"/>
    <s v="Edificio 2 gaitán"/>
    <n v="2"/>
    <x v="15"/>
    <x v="15"/>
    <x v="1"/>
  </r>
  <r>
    <s v="2aaff763-f744-410b-9718-249c5a655998"/>
    <x v="6"/>
    <s v="Edificio manantial"/>
    <n v="3"/>
    <x v="16"/>
    <x v="16"/>
    <x v="1"/>
  </r>
  <r>
    <s v="6f8a6954-01b7-406a-a093-a2cdaaa92486"/>
    <x v="7"/>
    <s v="Edificio 1 gaitán"/>
    <n v="3"/>
    <x v="17"/>
    <x v="17"/>
    <x v="0"/>
  </r>
  <r>
    <s v="27310f4f-85e3-4b88-a729-7ac95dafed90"/>
    <x v="7"/>
    <s v="Edificio 1 gaitán"/>
    <n v="3"/>
    <x v="18"/>
    <x v="18"/>
    <x v="0"/>
  </r>
  <r>
    <s v="a015cb3c-59da-4d45-baab-1eb8c5a27b18"/>
    <x v="7"/>
    <s v="Edificio 1 gaitán"/>
    <n v="3"/>
    <x v="19"/>
    <x v="19"/>
    <x v="0"/>
  </r>
  <r>
    <s v="30fd925e-19d9-44bd-8b5c-433df4f552c5"/>
    <x v="7"/>
    <s v="Edificio 1 gaitán"/>
    <n v="3"/>
    <x v="20"/>
    <x v="20"/>
    <x v="0"/>
  </r>
  <r>
    <s v="0373883e-fcad-45c8-8bfa-d9a9fed06e62"/>
    <x v="7"/>
    <s v="Edificio 1 gaitán"/>
    <n v="3"/>
    <x v="21"/>
    <x v="21"/>
    <x v="0"/>
  </r>
  <r>
    <s v="4a750489-eb15-410f-bb3c-6eb9865520f7"/>
    <x v="7"/>
    <s v="Edificio 1 gaitán"/>
    <n v="3"/>
    <x v="22"/>
    <x v="22"/>
    <x v="0"/>
  </r>
  <r>
    <s v="63486b31-652f-4bf6-9624-2dded95ee588"/>
    <x v="7"/>
    <s v="Edificio 1 gaitán"/>
    <n v="3"/>
    <x v="23"/>
    <x v="23"/>
    <x v="0"/>
  </r>
  <r>
    <s v="e75eaa65-dcd7-495b-9963-21e4793b7d6b"/>
    <x v="7"/>
    <s v="Edificio 1 gaitán"/>
    <n v="3"/>
    <x v="24"/>
    <x v="24"/>
    <x v="0"/>
  </r>
  <r>
    <s v="d3d28afd-5f91-4852-8fec-fcfccbfe2f88"/>
    <x v="7"/>
    <s v="Edificio 1 gaitán"/>
    <n v="3"/>
    <x v="25"/>
    <x v="25"/>
    <x v="0"/>
  </r>
  <r>
    <s v="02bc2bed-c436-414b-bec4-87348717f99f"/>
    <x v="7"/>
    <s v="Edificio 1 gaitán"/>
    <n v="3"/>
    <x v="26"/>
    <x v="26"/>
    <x v="0"/>
  </r>
  <r>
    <s v="ad170f28-d2f4-44b9-8d89-c741ab0358f7"/>
    <x v="7"/>
    <s v="Edificio 1 gaitán"/>
    <n v="3"/>
    <x v="27"/>
    <x v="27"/>
    <x v="0"/>
  </r>
  <r>
    <s v="8e4d74fa-ec72-4872-a04b-81c46e2fbd96"/>
    <x v="7"/>
    <s v="Edificio 1 gaitán"/>
    <n v="3"/>
    <x v="28"/>
    <x v="28"/>
    <x v="0"/>
  </r>
  <r>
    <s v="3222d3e6-2b5b-4103-bc55-29e39c33ca84"/>
    <x v="7"/>
    <s v="Edificio 1 gaitán"/>
    <n v="3"/>
    <x v="29"/>
    <x v="29"/>
    <x v="0"/>
  </r>
  <r>
    <s v="cac5cc64-81f9-466e-94ec-47be649d3deb"/>
    <x v="7"/>
    <s v="Edificio 1 gaitán"/>
    <n v="3"/>
    <x v="30"/>
    <x v="30"/>
    <x v="1"/>
  </r>
  <r>
    <s v="d8bf72da-b904-40a1-aaa6-6daa1b9ff004"/>
    <x v="8"/>
    <s v="Edificio manantial"/>
    <n v="1"/>
    <x v="31"/>
    <x v="31"/>
    <x v="0"/>
  </r>
  <r>
    <s v="16fbb6a2-d237-4dd2-8a6d-7bd76aa8645c"/>
    <x v="8"/>
    <s v="Edificio manantial"/>
    <n v="1"/>
    <x v="32"/>
    <x v="32"/>
    <x v="0"/>
  </r>
  <r>
    <s v="01fb67ad-1898-47db-a814-5a658a723a89"/>
    <x v="8"/>
    <s v="Edificio manantial"/>
    <n v="1"/>
    <x v="33"/>
    <x v="33"/>
    <x v="0"/>
  </r>
  <r>
    <s v="40f08409-f7a6-467c-8e53-1f5a9a143a9f"/>
    <x v="8"/>
    <s v="Edificio manantial"/>
    <n v="1"/>
    <x v="34"/>
    <x v="34"/>
    <x v="1"/>
  </r>
  <r>
    <s v="b934fcd1-5390-4b7c-b3bc-4a642a1d7f9e"/>
    <x v="9"/>
    <s v="Edificio 3 gaitán"/>
    <n v="4"/>
    <x v="35"/>
    <x v="35"/>
    <x v="1"/>
  </r>
  <r>
    <s v="a453002a-364d-498e-9097-955db383620d"/>
    <x v="10"/>
    <s v="Edificio 2 gaitán"/>
    <n v="1"/>
    <x v="36"/>
    <x v="36"/>
    <x v="0"/>
  </r>
  <r>
    <s v="606f9920-bca3-4057-9abe-f16ab4f7062b"/>
    <x v="10"/>
    <s v="Edificio 2 gaitán"/>
    <n v="1"/>
    <x v="37"/>
    <x v="37"/>
    <x v="0"/>
  </r>
  <r>
    <s v="fbb0f214-f25a-43ce-bf0b-afe741b4c27b"/>
    <x v="10"/>
    <s v="Edificio 2 gaitán"/>
    <n v="1"/>
    <x v="38"/>
    <x v="38"/>
    <x v="0"/>
  </r>
  <r>
    <s v="9ce44e27-d7b6-4887-a696-e74e8e7b2a28"/>
    <x v="10"/>
    <s v="Edificio 2 gaitán"/>
    <n v="1"/>
    <x v="39"/>
    <x v="39"/>
    <x v="0"/>
  </r>
  <r>
    <s v="1c9d267f-bb28-462a-9b6c-10633cc45e36"/>
    <x v="10"/>
    <s v="Edificio 2 gaitán"/>
    <n v="1"/>
    <x v="40"/>
    <x v="40"/>
    <x v="0"/>
  </r>
  <r>
    <s v="e5026bf5-3439-43f5-a430-a6f452320778"/>
    <x v="11"/>
    <s v="Edificio 3 gaitán"/>
    <n v="1"/>
    <x v="41"/>
    <x v="41"/>
    <x v="0"/>
  </r>
  <r>
    <s v="e919ee59-138a-4725-be6c-8f7c401f3312"/>
    <x v="11"/>
    <s v="Edificio 3 gaitán"/>
    <n v="1"/>
    <x v="42"/>
    <x v="42"/>
    <x v="0"/>
  </r>
  <r>
    <s v="420d1c8b-349d-466e-9369-1ab30c465800"/>
    <x v="11"/>
    <s v="Edificio 3 gaitán"/>
    <n v="1"/>
    <x v="43"/>
    <x v="43"/>
    <x v="0"/>
  </r>
  <r>
    <s v="1f5eb474-0cc5-4f59-bde6-8b6fb39d4b29"/>
    <x v="12"/>
    <s v="Edificio 2 gaitán"/>
    <n v="1"/>
    <x v="44"/>
    <x v="44"/>
    <x v="0"/>
  </r>
  <r>
    <s v="4c98583b-658d-4d2e-816a-705f956fba8d"/>
    <x v="12"/>
    <s v="Edificio 2 gaitán"/>
    <n v="1"/>
    <x v="45"/>
    <x v="45"/>
    <x v="1"/>
  </r>
  <r>
    <s v="f0fd51a6-8061-417f-ba26-419ba1697033"/>
    <x v="13"/>
    <s v="Edificio 1 gaitán"/>
    <n v="2"/>
    <x v="46"/>
    <x v="46"/>
    <x v="0"/>
  </r>
  <r>
    <s v="e09f74db-f923-4e51-8bce-340da723f0cc"/>
    <x v="13"/>
    <s v="Edificio 1 gaitán"/>
    <n v="2"/>
    <x v="47"/>
    <x v="47"/>
    <x v="0"/>
  </r>
  <r>
    <s v="0d8d157d-f9ab-4cd6-ac8a-7ed1a74a6746"/>
    <x v="13"/>
    <s v="Edificio 1 gaitán"/>
    <n v="2"/>
    <x v="48"/>
    <x v="48"/>
    <x v="0"/>
  </r>
  <r>
    <s v="e39b3e8a-33b6-49ac-8fe8-f4ed22ad8b90"/>
    <x v="13"/>
    <s v="Edificio 1 gaitán"/>
    <n v="2"/>
    <x v="49"/>
    <x v="49"/>
    <x v="1"/>
  </r>
  <r>
    <s v="1cd652ac-940f-4a69-a321-3f92483495db"/>
    <x v="14"/>
    <s v="Edificio 2 gaitán"/>
    <n v="3"/>
    <x v="50"/>
    <x v="50"/>
    <x v="0"/>
  </r>
  <r>
    <s v="edf21768-caed-40a0-991e-289107b07c58"/>
    <x v="14"/>
    <s v="Edificio 2 gaitán"/>
    <n v="3"/>
    <x v="51"/>
    <x v="51"/>
    <x v="0"/>
  </r>
  <r>
    <s v="9164c581-af94-48fd-8c20-5bddb475655f"/>
    <x v="14"/>
    <s v="Edificio 2 gaitán"/>
    <n v="3"/>
    <x v="52"/>
    <x v="52"/>
    <x v="0"/>
  </r>
  <r>
    <s v="3c91b9e4-e30d-43c4-93ec-843b4e0debfe"/>
    <x v="14"/>
    <s v="Edificio 2 gaitán"/>
    <n v="3"/>
    <x v="53"/>
    <x v="53"/>
    <x v="0"/>
  </r>
  <r>
    <s v="652336e7-90e6-4346-a1db-9c99b994afe6"/>
    <x v="14"/>
    <s v="Edificio 2 gaitán"/>
    <n v="3"/>
    <x v="54"/>
    <x v="54"/>
    <x v="0"/>
  </r>
  <r>
    <s v="2eb39786-09e7-4dd1-ae3f-137c5bc86751"/>
    <x v="14"/>
    <s v="Edificio 2 gaitán"/>
    <n v="3"/>
    <x v="55"/>
    <x v="55"/>
    <x v="1"/>
  </r>
  <r>
    <s v="7366f152-e5d2-44a3-8beb-4d85e5905cbc"/>
    <x v="15"/>
    <s v="Edificio 3 gaitán"/>
    <n v="3"/>
    <x v="56"/>
    <x v="56"/>
    <x v="1"/>
  </r>
  <r>
    <s v="902883b7-2b53-41f8-9d1f-dae6135b4eb7"/>
    <x v="16"/>
    <s v="Edificio 2 gaitán"/>
    <n v="2"/>
    <x v="57"/>
    <x v="57"/>
    <x v="0"/>
  </r>
  <r>
    <s v="2735a74a-eaef-47c1-b2f0-822480f10700"/>
    <x v="16"/>
    <s v="Edificio 2 gaitán"/>
    <n v="2"/>
    <x v="58"/>
    <x v="58"/>
    <x v="0"/>
  </r>
  <r>
    <s v="9d4e93ec-8103-4ec7-94d4-480e0647a578"/>
    <x v="16"/>
    <s v="Edificio 2 gaitán"/>
    <n v="2"/>
    <x v="59"/>
    <x v="59"/>
    <x v="0"/>
  </r>
  <r>
    <s v="e725ef85-824a-4f9c-b7c6-445df4612ef0"/>
    <x v="16"/>
    <s v="Edificio 2 gaitán"/>
    <n v="2"/>
    <x v="60"/>
    <x v="60"/>
    <x v="0"/>
  </r>
  <r>
    <s v="09012b19-863a-4906-b34b-a89dcba8626e"/>
    <x v="17"/>
    <s v="Edificio manantial"/>
    <n v="2"/>
    <x v="7"/>
    <x v="7"/>
    <x v="0"/>
  </r>
  <r>
    <s v="10424221-9e53-4f28-aea8-3549e2e43b87"/>
    <x v="17"/>
    <s v="Edificio manantial"/>
    <n v="2"/>
    <x v="8"/>
    <x v="8"/>
    <x v="0"/>
  </r>
  <r>
    <s v="10959edc-7e2c-4e4e-b5ee-d6bdac93ae9e"/>
    <x v="17"/>
    <s v="Edificio manantial"/>
    <n v="2"/>
    <x v="9"/>
    <x v="9"/>
    <x v="1"/>
  </r>
  <r>
    <s v="02c61008-4e84-43c2-88b5-08e054eb6049"/>
    <x v="18"/>
    <s v="Edificio 3 gaitán"/>
    <n v="1"/>
    <x v="61"/>
    <x v="61"/>
    <x v="1"/>
  </r>
  <r>
    <s v="165e1685-0b5f-46a9-8720-08682265922b"/>
    <x v="19"/>
    <s v="Edificio 3 gaitán"/>
    <n v="4"/>
    <x v="62"/>
    <x v="62"/>
    <x v="0"/>
  </r>
  <r>
    <s v="f2b5f4e7-1f87-4e12-8e0e-4963e89c092a"/>
    <x v="19"/>
    <s v="Edificio 3 gaitán"/>
    <n v="4"/>
    <x v="63"/>
    <x v="6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1A7FA-5616-4D41-9AC1-6FF4E5CD68A8}" name="buscarpagos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3:R17" firstHeaderRow="1" firstDataRow="1" firstDataCol="8" rowPageCount="1" colPageCount="1"/>
  <pivotFields count="15"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2">
        <item x="1"/>
        <item x="2"/>
        <item x="3"/>
        <item x="4"/>
        <item x="5"/>
        <item x="6"/>
        <item x="7"/>
        <item x="8"/>
        <item x="9"/>
        <item x="10"/>
        <item x="11"/>
        <item x="0"/>
      </items>
    </pivotField>
    <pivotField axis="axisRow" compact="0" outline="0" showAll="0" sortType="ascending" defaultSubtotal="0">
      <items count="2">
        <item x="0"/>
        <item x="1"/>
      </items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outline="0" showAll="0"/>
    <pivotField compact="0" outline="0" showAll="0"/>
    <pivotField axis="axisPage" compact="0" outline="0" showAll="0">
      <items count="21">
        <item x="0"/>
        <item x="8"/>
        <item x="7"/>
        <item x="12"/>
        <item x="13"/>
        <item x="19"/>
        <item x="17"/>
        <item x="2"/>
        <item x="10"/>
        <item x="16"/>
        <item x="3"/>
        <item x="6"/>
        <item x="14"/>
        <item x="1"/>
        <item x="5"/>
        <item x="18"/>
        <item x="4"/>
        <item x="11"/>
        <item x="15"/>
        <item x="9"/>
        <item t="default"/>
      </items>
    </pivotField>
    <pivotField axis="axisRow" compact="0" numFmtId="164" outline="0" showAll="0" defaultSubtotal="0">
      <items count="28">
        <item x="24"/>
        <item x="12"/>
        <item x="2"/>
        <item x="5"/>
        <item x="8"/>
        <item x="1"/>
        <item x="16"/>
        <item x="14"/>
        <item x="11"/>
        <item x="9"/>
        <item x="15"/>
        <item x="10"/>
        <item x="17"/>
        <item x="23"/>
        <item x="4"/>
        <item x="27"/>
        <item x="0"/>
        <item x="22"/>
        <item x="26"/>
        <item x="3"/>
        <item x="20"/>
        <item x="25"/>
        <item x="7"/>
        <item x="6"/>
        <item x="18"/>
        <item x="21"/>
        <item x="13"/>
        <item x="19"/>
      </items>
    </pivotField>
    <pivotField axis="axisRow" compact="0" numFmtId="164" outline="0" showAll="0" defaultSubtotal="0">
      <items count="28">
        <item x="11"/>
        <item x="5"/>
        <item x="2"/>
        <item x="1"/>
        <item x="23"/>
        <item x="13"/>
        <item x="10"/>
        <item x="15"/>
        <item x="8"/>
        <item x="14"/>
        <item x="9"/>
        <item x="16"/>
        <item x="22"/>
        <item x="4"/>
        <item x="27"/>
        <item x="0"/>
        <item x="21"/>
        <item x="26"/>
        <item x="3"/>
        <item x="24"/>
        <item x="25"/>
        <item x="7"/>
        <item x="19"/>
        <item x="6"/>
        <item x="17"/>
        <item x="20"/>
        <item x="12"/>
        <item x="18"/>
      </items>
    </pivotField>
    <pivotField axis="axisRow" compact="0" numFmtId="164" outline="0" showAll="0" defaultSubtotal="0">
      <items count="2">
        <item x="1"/>
        <item x="0"/>
      </items>
    </pivotField>
    <pivotField axis="axisRow" compact="0" numFmtId="164" outline="0" showAll="0">
      <items count="33">
        <item x="25"/>
        <item x="12"/>
        <item x="20"/>
        <item x="11"/>
        <item x="5"/>
        <item x="2"/>
        <item x="1"/>
        <item x="26"/>
        <item x="14"/>
        <item x="10"/>
        <item x="16"/>
        <item x="8"/>
        <item x="15"/>
        <item x="9"/>
        <item x="17"/>
        <item x="29"/>
        <item x="4"/>
        <item x="31"/>
        <item x="0"/>
        <item x="24"/>
        <item x="23"/>
        <item x="30"/>
        <item x="3"/>
        <item x="21"/>
        <item x="27"/>
        <item x="28"/>
        <item x="7"/>
        <item x="6"/>
        <item x="18"/>
        <item x="22"/>
        <item x="13"/>
        <item x="19"/>
        <item t="default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4">
        <item x="0"/>
        <item x="1"/>
        <item x="2"/>
        <item x="3"/>
      </items>
    </pivotField>
  </pivotFields>
  <rowFields count="8">
    <field x="4"/>
    <field x="2"/>
    <field x="3"/>
    <field x="1"/>
    <field x="8"/>
    <field x="9"/>
    <field x="10"/>
    <field x="11"/>
  </rowFields>
  <rowItems count="14">
    <i>
      <x/>
      <x v="11"/>
      <x/>
      <x/>
      <x v="2"/>
      <x v="2"/>
      <x/>
      <x v="5"/>
    </i>
    <i>
      <x v="1"/>
      <x/>
      <x v="1"/>
      <x/>
      <x v="2"/>
      <x v="2"/>
      <x/>
      <x v="5"/>
    </i>
    <i>
      <x v="2"/>
      <x v="1"/>
      <x v="1"/>
      <x/>
      <x v="2"/>
      <x v="2"/>
      <x/>
      <x v="5"/>
    </i>
    <i>
      <x v="3"/>
      <x v="2"/>
      <x v="1"/>
      <x/>
      <x v="2"/>
      <x v="2"/>
      <x/>
      <x v="5"/>
    </i>
    <i>
      <x v="4"/>
      <x v="3"/>
      <x v="1"/>
      <x/>
      <x v="2"/>
      <x v="2"/>
      <x/>
      <x v="5"/>
    </i>
    <i>
      <x v="5"/>
      <x v="4"/>
      <x v="1"/>
      <x/>
      <x v="6"/>
      <x v="7"/>
      <x/>
      <x v="10"/>
    </i>
    <i>
      <x v="6"/>
      <x v="5"/>
      <x v="1"/>
      <x/>
      <x v="6"/>
      <x v="7"/>
      <x/>
      <x v="10"/>
    </i>
    <i>
      <x v="7"/>
      <x v="6"/>
      <x v="1"/>
      <x/>
      <x v="6"/>
      <x v="7"/>
      <x/>
      <x v="10"/>
    </i>
    <i>
      <x v="8"/>
      <x v="7"/>
      <x v="1"/>
      <x/>
      <x v="6"/>
      <x v="7"/>
      <x/>
      <x v="10"/>
    </i>
    <i>
      <x v="9"/>
      <x v="8"/>
      <x v="1"/>
      <x/>
      <x v="6"/>
      <x v="7"/>
      <x/>
      <x v="10"/>
    </i>
    <i>
      <x v="10"/>
      <x v="9"/>
      <x v="1"/>
      <x/>
      <x v="6"/>
      <x v="7"/>
      <x/>
      <x v="10"/>
    </i>
    <i>
      <x v="11"/>
      <x v="10"/>
      <x v="1"/>
      <x/>
      <x v="6"/>
      <x v="7"/>
      <x/>
      <x v="10"/>
    </i>
    <i>
      <x v="12"/>
      <x v="11"/>
      <x v="1"/>
      <x/>
      <x v="6"/>
      <x v="7"/>
      <x/>
      <x v="10"/>
    </i>
    <i t="grand">
      <x/>
    </i>
  </rowItems>
  <colItems count="1">
    <i/>
  </colItems>
  <pageFields count="1">
    <pageField fld="7" item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4A8A2-5C36-4529-BBBC-CAD2CA385DA1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22:F37" firstHeaderRow="1" firstDataRow="1" firstDataCol="3" rowPageCount="1" colPageCount="1"/>
  <pivotFields count="10">
    <pivotField compact="0" outline="0" showAll="0"/>
    <pivotField axis="axisPage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axis="axisRow" compact="0" numFmtId="14" outline="0" showAll="0" defaultSubtotal="0">
      <items count="64">
        <item x="17"/>
        <item x="18"/>
        <item x="19"/>
        <item x="20"/>
        <item x="21"/>
        <item x="22"/>
        <item x="23"/>
        <item x="24"/>
        <item x="36"/>
        <item x="50"/>
        <item x="25"/>
        <item x="37"/>
        <item x="5"/>
        <item x="51"/>
        <item x="26"/>
        <item x="57"/>
        <item x="38"/>
        <item x="6"/>
        <item x="41"/>
        <item x="52"/>
        <item x="46"/>
        <item x="31"/>
        <item x="27"/>
        <item x="58"/>
        <item x="62"/>
        <item x="39"/>
        <item x="7"/>
        <item x="10"/>
        <item x="42"/>
        <item x="12"/>
        <item x="0"/>
        <item x="53"/>
        <item x="47"/>
        <item x="32"/>
        <item x="3"/>
        <item x="28"/>
        <item x="59"/>
        <item x="63"/>
        <item x="40"/>
        <item x="8"/>
        <item x="11"/>
        <item x="43"/>
        <item x="13"/>
        <item x="1"/>
        <item x="54"/>
        <item x="48"/>
        <item x="33"/>
        <item x="4"/>
        <item x="29"/>
        <item x="60"/>
        <item x="44"/>
        <item x="9"/>
        <item x="61"/>
        <item x="35"/>
        <item x="14"/>
        <item x="2"/>
        <item x="55"/>
        <item x="16"/>
        <item x="49"/>
        <item x="34"/>
        <item x="30"/>
        <item x="56"/>
        <item x="15"/>
        <item x="45"/>
      </items>
    </pivotField>
    <pivotField axis="axisRow" compact="0" numFmtId="14" outline="0" showAll="0" defaultSubtotal="0">
      <items count="64">
        <item x="17"/>
        <item x="18"/>
        <item x="19"/>
        <item x="20"/>
        <item x="21"/>
        <item x="22"/>
        <item x="23"/>
        <item x="24"/>
        <item x="36"/>
        <item x="50"/>
        <item x="25"/>
        <item x="37"/>
        <item x="5"/>
        <item x="51"/>
        <item x="26"/>
        <item x="57"/>
        <item x="38"/>
        <item x="6"/>
        <item x="41"/>
        <item x="52"/>
        <item x="46"/>
        <item x="31"/>
        <item x="27"/>
        <item x="58"/>
        <item x="62"/>
        <item x="39"/>
        <item x="7"/>
        <item x="10"/>
        <item x="42"/>
        <item x="12"/>
        <item x="0"/>
        <item x="53"/>
        <item x="47"/>
        <item x="32"/>
        <item x="3"/>
        <item x="28"/>
        <item x="59"/>
        <item x="63"/>
        <item x="40"/>
        <item x="8"/>
        <item x="11"/>
        <item x="43"/>
        <item x="13"/>
        <item x="1"/>
        <item x="54"/>
        <item x="48"/>
        <item x="33"/>
        <item x="4"/>
        <item x="29"/>
        <item x="60"/>
        <item x="44"/>
        <item x="9"/>
        <item x="61"/>
        <item x="35"/>
        <item x="14"/>
        <item x="2"/>
        <item x="55"/>
        <item x="16"/>
        <item x="49"/>
        <item x="34"/>
        <item x="30"/>
        <item x="56"/>
        <item x="15"/>
        <item x="45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3">
    <field x="4"/>
    <field x="5"/>
    <field x="6"/>
  </rowFields>
  <rowItems count="15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10"/>
      <x v="10"/>
      <x/>
    </i>
    <i>
      <x v="14"/>
      <x v="14"/>
      <x/>
    </i>
    <i>
      <x v="22"/>
      <x v="22"/>
      <x/>
    </i>
    <i>
      <x v="35"/>
      <x v="35"/>
      <x/>
    </i>
    <i>
      <x v="48"/>
      <x v="48"/>
      <x/>
    </i>
    <i>
      <x v="60"/>
      <x v="60"/>
      <x v="1"/>
    </i>
    <i t="grand">
      <x/>
    </i>
  </rowItems>
  <colItems count="1">
    <i/>
  </colItems>
  <pageFields count="1">
    <pageField fld="1" item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51ECB-8434-4FD9-80AC-EB5BC381E6CA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5:H10" firstHeaderRow="0" firstDataRow="1" firstDataCol="1" rowPageCount="3" colPageCount="1"/>
  <pivotFields count="15">
    <pivotField showAll="0"/>
    <pivotField axis="axisPage" multipleItemSelectionAllowed="1" showAll="0">
      <items count="3">
        <item x="0"/>
        <item x="1"/>
        <item t="default"/>
      </items>
    </pivotField>
    <pivotField axis="axisPage" multipleItemSelectionAllowed="1" showAll="0">
      <items count="13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0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-1"/>
    <pageField fld="2" hier="-1"/>
    <pageField fld="3" hier="-1"/>
  </pageFields>
  <dataFields count="4">
    <dataField name="Suma de VALOR" fld="8" baseField="0" baseItem="0" numFmtId="164"/>
    <dataField name="Suma de CUOTA ADMINISTRACION" fld="9" baseField="0" baseItem="0" numFmtId="164"/>
    <dataField name="Suma de FONDO INMUEBLE" fld="10" baseField="0" baseItem="0" numFmtId="164"/>
    <dataField name="Suma de TOTAL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46265-C576-445B-B636-538C3D6E1BCD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17" firstHeaderRow="1" firstDataRow="1" firstDataCol="1"/>
  <pivotFields count="15">
    <pivotField showAll="0"/>
    <pivotField showAll="0"/>
    <pivotField showAll="0"/>
    <pivotField showAll="0"/>
    <pivotField axis="axisRow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4"/>
    <field x="4"/>
  </rowFields>
  <rowItems count="1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t="grand">
      <x/>
    </i>
  </rowItems>
  <colItems count="1">
    <i/>
  </colItems>
  <dataFields count="1">
    <dataField name="Suma de TOTAL" fld="11" baseField="0" baseItem="0" numFmtId="164"/>
  </dataFields>
  <formats count="1">
    <format dxfId="16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46791-7A50-4D15-9C65-5DF524EC2A8B}" name="Tabla3" displayName="Tabla3" ref="A1:G68" totalsRowShown="0">
  <autoFilter ref="A1:G68" xr:uid="{8DC46791-7A50-4D15-9C65-5DF524EC2A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G68">
    <sortCondition ref="B2:B68"/>
    <sortCondition ref="E2:E68"/>
  </sortState>
  <tableColumns count="7">
    <tableColumn id="8" xr3:uid="{A044CB16-EF1E-44E2-A0D5-0C6B4636D1ED}" name="id contrato"/>
    <tableColumn id="1" xr3:uid="{49B63D2B-D77A-41D1-A1A6-9DFBB2F2FD73}" name="Nombre"/>
    <tableColumn id="2" xr3:uid="{45D4B31E-F7AE-4F29-A512-F094D9EC8256}" name="Edificio"/>
    <tableColumn id="3" xr3:uid="{2BC4E8A2-CCFD-446C-95EE-2E708D93C82F}" name="Piso"/>
    <tableColumn id="4" xr3:uid="{3910367C-17DC-4BEC-B1EA-9453E2FC7783}" name="Fecha inicio" dataDxfId="1"/>
    <tableColumn id="5" xr3:uid="{735B4C96-C7F1-4E5E-8243-597EA027BDEB}" name="Fecha fin" dataDxfId="0">
      <calculatedColumnFormula>DATE(YEAR(E2),MONTH(E2)+6,DAY(E2))</calculatedColumnFormula>
    </tableColumn>
    <tableColumn id="6" xr3:uid="{43CBE528-71BC-4EE5-90D4-91B96A898534}" name="Activ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6B0517-BAE9-4FD0-BC92-EB6535A8C0A1}" name="Tabla2" displayName="Tabla2" ref="A1:L180">
  <autoFilter ref="A1:L180" xr:uid="{3C6B0517-BAE9-4FD0-BC92-EB6535A8C0A1}"/>
  <tableColumns count="12">
    <tableColumn id="9" xr3:uid="{F43B528C-F746-4797-A99A-C5CF142DD75C}" name="contrato_arriendo_id" totalsRowLabel="Total" dataDxfId="15" dataCellStyle="Moneda">
      <calculatedColumnFormula array="1">_xlfn.XLOOKUP(1,(Contratos!$B$2:$B$203=H2)*(Contratos!$C$2:$C$203=F2)*(Contratos!$D$2:$D$203=G2)*(DATE(D2,MATCH(C2,{"Enero";"Febrero";"Marzo";"Abril";"Mayo";"Junio";"Julio";"Agosto";"Septiembre";"Octubre";"Noviembre";"Diciembre"},0),1)&gt;=DATE(YEAR(Contratos!$E$2:$E$203),MONTH(Contratos!$E$2:$E$203),1))*(DATE(D2,MATCH(C2,{"Enero";"Febrero";"Marzo";"Abril";"Mayo";"Junio";"Julio";"Agosto";"Septiembre";"Octubre";"Noviembre";"Diciembre"},0),1)&lt;=DATE(YEAR(Contratos!$F$2:$F$203),MONTH(Contratos!$F$2:$F$203),1)),Contratos!$A$2:$A$203,"")</calculatedColumnFormula>
    </tableColumn>
    <tableColumn id="12" xr3:uid="{F0CAEC13-A22D-49CB-BE2E-9A4FC071AF92}" name="tipo"/>
    <tableColumn id="10" xr3:uid="{8ADB429B-987D-40A8-BC40-CA2B6B249546}" name="mes" dataDxfId="14" totalsRowDxfId="13" dataCellStyle="Moneda"/>
    <tableColumn id="11" xr3:uid="{B580620A-F0EE-4BBB-9307-23E7C9959752}" name="anio" dataDxfId="12" totalsRowDxfId="11" dataCellStyle="Moneda"/>
    <tableColumn id="1" xr3:uid="{E9A6E600-8451-4CD7-9D2F-20F6EE24F9E1}" name="fecha_pago" dataDxfId="10"/>
    <tableColumn id="2" xr3:uid="{4640DB88-1C85-480E-B479-D49720A50211}" name="EDIFICIO"/>
    <tableColumn id="3" xr3:uid="{CBA44883-DED6-4AA3-B725-E7EA2FB864E4}" name="PISO"/>
    <tableColumn id="4" xr3:uid="{0E9B9BFD-342C-42BD-AD06-36D131E7E418}" name="NOMBRE PROPIETARIO"/>
    <tableColumn id="5" xr3:uid="{E8B38F5A-79E9-4B2C-B861-CA871DEA282E}" name="valor_arriendo" dataDxfId="9" totalsRowDxfId="8" dataCellStyle="Moneda"/>
    <tableColumn id="6" xr3:uid="{1B07816B-0328-4CB1-B412-3E09DE639B9D}" name="cuota_administracion" dataDxfId="7" totalsRowDxfId="6" dataCellStyle="Moneda"/>
    <tableColumn id="7" xr3:uid="{5BA356BA-BC5E-474C-A95C-D7BA0D8935B2}" name="fondo_inmueble" dataDxfId="5" totalsRowDxfId="4" dataCellStyle="Moneda"/>
    <tableColumn id="8" xr3:uid="{041CF6AB-E368-45CB-8DAF-17EEC775B8CE}" name="total_neto" totalsRowFunction="sum" dataDxfId="3" totalsRowDxfId="2" dataCellStyle="Moneda">
      <calculatedColumnFormula>I2-SUM(J2:K2)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62FC-3CE6-43D4-B164-4BD8E709E364}">
  <dimension ref="A1:G68"/>
  <sheetViews>
    <sheetView topLeftCell="A14" zoomScale="145" zoomScaleNormal="145" workbookViewId="0">
      <selection activeCell="B38" sqref="B38:G42"/>
    </sheetView>
  </sheetViews>
  <sheetFormatPr baseColWidth="10" defaultRowHeight="15" x14ac:dyDescent="0.25"/>
  <cols>
    <col min="1" max="1" width="38.28515625" bestFit="1" customWidth="1"/>
    <col min="2" max="2" width="20.85546875" bestFit="1" customWidth="1"/>
    <col min="3" max="3" width="17.28515625" bestFit="1" customWidth="1"/>
    <col min="4" max="4" width="4.85546875" bestFit="1" customWidth="1"/>
    <col min="5" max="5" width="23.140625" bestFit="1" customWidth="1"/>
  </cols>
  <sheetData>
    <row r="1" spans="1:7" x14ac:dyDescent="0.25">
      <c r="A1" t="s">
        <v>39</v>
      </c>
      <c r="B1" t="s">
        <v>32</v>
      </c>
      <c r="C1" t="s">
        <v>36</v>
      </c>
      <c r="D1" t="s">
        <v>37</v>
      </c>
      <c r="E1" t="s">
        <v>33</v>
      </c>
      <c r="F1" t="s">
        <v>34</v>
      </c>
      <c r="G1" t="s">
        <v>35</v>
      </c>
    </row>
    <row r="2" spans="1:7" x14ac:dyDescent="0.25">
      <c r="A2" t="s">
        <v>54</v>
      </c>
      <c r="B2" t="s">
        <v>7</v>
      </c>
      <c r="C2" t="s">
        <v>2</v>
      </c>
      <c r="D2">
        <v>1</v>
      </c>
      <c r="E2" s="3">
        <v>45545</v>
      </c>
      <c r="F2" s="3">
        <f t="shared" ref="F2:F33" si="0">DATE(YEAR(E2),MONTH(E2)+6,DAY(E2))</f>
        <v>45726</v>
      </c>
      <c r="G2" t="b">
        <v>0</v>
      </c>
    </row>
    <row r="3" spans="1:7" x14ac:dyDescent="0.25">
      <c r="A3" t="s">
        <v>55</v>
      </c>
      <c r="B3" t="s">
        <v>7</v>
      </c>
      <c r="C3" t="s">
        <v>2</v>
      </c>
      <c r="D3">
        <v>1</v>
      </c>
      <c r="E3" s="3">
        <v>45737</v>
      </c>
      <c r="F3" s="3">
        <f t="shared" si="0"/>
        <v>45921</v>
      </c>
      <c r="G3" t="b">
        <v>0</v>
      </c>
    </row>
    <row r="4" spans="1:7" x14ac:dyDescent="0.25">
      <c r="A4" t="s">
        <v>56</v>
      </c>
      <c r="B4" t="s">
        <v>7</v>
      </c>
      <c r="C4" t="s">
        <v>2</v>
      </c>
      <c r="D4">
        <v>1</v>
      </c>
      <c r="E4" s="3">
        <v>45921</v>
      </c>
      <c r="F4" s="3">
        <f t="shared" si="0"/>
        <v>46102</v>
      </c>
      <c r="G4" t="b">
        <v>1</v>
      </c>
    </row>
    <row r="5" spans="1:7" x14ac:dyDescent="0.25">
      <c r="A5" t="s">
        <v>57</v>
      </c>
      <c r="B5" t="s">
        <v>15</v>
      </c>
      <c r="C5" t="s">
        <v>4</v>
      </c>
      <c r="D5">
        <v>3</v>
      </c>
      <c r="E5" s="3">
        <v>45604</v>
      </c>
      <c r="F5" s="3">
        <f t="shared" si="0"/>
        <v>45785</v>
      </c>
      <c r="G5" t="b">
        <v>0</v>
      </c>
    </row>
    <row r="6" spans="1:7" x14ac:dyDescent="0.25">
      <c r="A6" t="s">
        <v>111</v>
      </c>
      <c r="B6" t="s">
        <v>15</v>
      </c>
      <c r="C6" t="s">
        <v>4</v>
      </c>
      <c r="D6">
        <v>3</v>
      </c>
      <c r="E6" s="3">
        <v>45785</v>
      </c>
      <c r="F6" s="3">
        <f t="shared" si="0"/>
        <v>45969</v>
      </c>
      <c r="G6" t="b">
        <v>0</v>
      </c>
    </row>
    <row r="7" spans="1:7" x14ac:dyDescent="0.25">
      <c r="A7" t="s">
        <v>58</v>
      </c>
      <c r="B7" t="s">
        <v>14</v>
      </c>
      <c r="C7" t="s">
        <v>4</v>
      </c>
      <c r="D7">
        <v>2</v>
      </c>
      <c r="E7" s="3">
        <v>45136</v>
      </c>
      <c r="F7" s="3">
        <f t="shared" si="0"/>
        <v>45320</v>
      </c>
      <c r="G7" t="b">
        <v>0</v>
      </c>
    </row>
    <row r="8" spans="1:7" x14ac:dyDescent="0.25">
      <c r="A8" t="s">
        <v>59</v>
      </c>
      <c r="B8" t="s">
        <v>14</v>
      </c>
      <c r="C8" t="s">
        <v>4</v>
      </c>
      <c r="D8">
        <v>2</v>
      </c>
      <c r="E8" s="3">
        <v>45320</v>
      </c>
      <c r="F8" s="3">
        <f t="shared" si="0"/>
        <v>45502</v>
      </c>
      <c r="G8" t="b">
        <v>0</v>
      </c>
    </row>
    <row r="9" spans="1:7" x14ac:dyDescent="0.25">
      <c r="A9" t="s">
        <v>60</v>
      </c>
      <c r="B9" t="s">
        <v>14</v>
      </c>
      <c r="C9" t="s">
        <v>4</v>
      </c>
      <c r="D9">
        <v>2</v>
      </c>
      <c r="E9" s="3">
        <v>45502</v>
      </c>
      <c r="F9" s="3">
        <f t="shared" si="0"/>
        <v>45686</v>
      </c>
      <c r="G9" t="b">
        <v>0</v>
      </c>
    </row>
    <row r="10" spans="1:7" x14ac:dyDescent="0.25">
      <c r="A10" t="s">
        <v>61</v>
      </c>
      <c r="B10" t="s">
        <v>14</v>
      </c>
      <c r="C10" t="s">
        <v>4</v>
      </c>
      <c r="D10">
        <v>2</v>
      </c>
      <c r="E10" s="3">
        <v>45686</v>
      </c>
      <c r="F10" s="3">
        <f t="shared" si="0"/>
        <v>45867</v>
      </c>
      <c r="G10" t="b">
        <v>0</v>
      </c>
    </row>
    <row r="11" spans="1:7" x14ac:dyDescent="0.25">
      <c r="A11" t="s">
        <v>62</v>
      </c>
      <c r="B11" t="s">
        <v>14</v>
      </c>
      <c r="C11" t="s">
        <v>4</v>
      </c>
      <c r="D11">
        <v>2</v>
      </c>
      <c r="E11" s="3">
        <v>45867</v>
      </c>
      <c r="F11" s="3">
        <f t="shared" si="0"/>
        <v>46051</v>
      </c>
      <c r="G11" t="b">
        <v>1</v>
      </c>
    </row>
    <row r="12" spans="1:7" x14ac:dyDescent="0.25">
      <c r="A12" t="s">
        <v>63</v>
      </c>
      <c r="B12" t="s">
        <v>19</v>
      </c>
      <c r="C12" t="s">
        <v>5</v>
      </c>
      <c r="D12">
        <v>3</v>
      </c>
      <c r="E12" s="3">
        <v>45505</v>
      </c>
      <c r="F12" s="3">
        <f t="shared" si="0"/>
        <v>45689</v>
      </c>
      <c r="G12" t="b">
        <v>0</v>
      </c>
    </row>
    <row r="13" spans="1:7" x14ac:dyDescent="0.25">
      <c r="A13" t="s">
        <v>112</v>
      </c>
      <c r="B13" t="s">
        <v>19</v>
      </c>
      <c r="C13" t="s">
        <v>5</v>
      </c>
      <c r="D13">
        <v>3</v>
      </c>
      <c r="E13" s="3">
        <v>45689</v>
      </c>
      <c r="F13" s="3">
        <f t="shared" si="0"/>
        <v>45870</v>
      </c>
      <c r="G13" t="b">
        <v>0</v>
      </c>
    </row>
    <row r="14" spans="1:7" x14ac:dyDescent="0.25">
      <c r="A14" t="s">
        <v>64</v>
      </c>
      <c r="B14" t="s">
        <v>20</v>
      </c>
      <c r="C14" t="s">
        <v>5</v>
      </c>
      <c r="D14">
        <v>4</v>
      </c>
      <c r="E14" s="3">
        <v>45539</v>
      </c>
      <c r="F14" s="3">
        <f t="shared" si="0"/>
        <v>45720</v>
      </c>
      <c r="G14" t="b">
        <v>0</v>
      </c>
    </row>
    <row r="15" spans="1:7" x14ac:dyDescent="0.25">
      <c r="A15" t="s">
        <v>65</v>
      </c>
      <c r="B15" t="s">
        <v>20</v>
      </c>
      <c r="C15" t="s">
        <v>5</v>
      </c>
      <c r="D15">
        <v>4</v>
      </c>
      <c r="E15" s="3">
        <v>45720</v>
      </c>
      <c r="F15" s="3">
        <f t="shared" si="0"/>
        <v>45904</v>
      </c>
      <c r="G15" t="b">
        <v>0</v>
      </c>
    </row>
    <row r="16" spans="1:7" x14ac:dyDescent="0.25">
      <c r="A16" t="s">
        <v>66</v>
      </c>
      <c r="B16" t="s">
        <v>20</v>
      </c>
      <c r="C16" t="s">
        <v>5</v>
      </c>
      <c r="D16">
        <v>4</v>
      </c>
      <c r="E16" s="3">
        <v>45904</v>
      </c>
      <c r="F16" s="3">
        <f t="shared" si="0"/>
        <v>46085</v>
      </c>
      <c r="G16" t="b">
        <v>1</v>
      </c>
    </row>
    <row r="17" spans="1:7" x14ac:dyDescent="0.25">
      <c r="A17" t="s">
        <v>67</v>
      </c>
      <c r="B17" t="s">
        <v>31</v>
      </c>
      <c r="C17" t="s">
        <v>3</v>
      </c>
      <c r="D17">
        <v>2</v>
      </c>
      <c r="E17" s="3">
        <v>45997</v>
      </c>
      <c r="F17" s="3">
        <f t="shared" si="0"/>
        <v>46179</v>
      </c>
      <c r="G17" t="b">
        <v>1</v>
      </c>
    </row>
    <row r="18" spans="1:7" x14ac:dyDescent="0.25">
      <c r="A18" t="s">
        <v>68</v>
      </c>
      <c r="B18" t="s">
        <v>29</v>
      </c>
      <c r="C18" t="s">
        <v>5</v>
      </c>
      <c r="D18">
        <v>3</v>
      </c>
      <c r="E18" s="3">
        <v>45930</v>
      </c>
      <c r="F18" s="3">
        <f t="shared" si="0"/>
        <v>46111</v>
      </c>
      <c r="G18" t="b">
        <v>1</v>
      </c>
    </row>
    <row r="19" spans="1:7" x14ac:dyDescent="0.25">
      <c r="A19" t="s">
        <v>69</v>
      </c>
      <c r="B19" t="s">
        <v>9</v>
      </c>
      <c r="C19" t="s">
        <v>2</v>
      </c>
      <c r="D19">
        <v>3</v>
      </c>
      <c r="E19" s="3">
        <v>43594</v>
      </c>
      <c r="F19" s="3">
        <f t="shared" si="0"/>
        <v>43778</v>
      </c>
      <c r="G19" t="b">
        <v>0</v>
      </c>
    </row>
    <row r="20" spans="1:7" x14ac:dyDescent="0.25">
      <c r="A20" t="s">
        <v>70</v>
      </c>
      <c r="B20" t="s">
        <v>9</v>
      </c>
      <c r="C20" t="s">
        <v>2</v>
      </c>
      <c r="D20">
        <v>3</v>
      </c>
      <c r="E20" s="3">
        <v>43778</v>
      </c>
      <c r="F20" s="3">
        <f t="shared" si="0"/>
        <v>43960</v>
      </c>
      <c r="G20" t="b">
        <v>0</v>
      </c>
    </row>
    <row r="21" spans="1:7" x14ac:dyDescent="0.25">
      <c r="A21" t="s">
        <v>71</v>
      </c>
      <c r="B21" t="s">
        <v>9</v>
      </c>
      <c r="C21" t="s">
        <v>2</v>
      </c>
      <c r="D21">
        <v>3</v>
      </c>
      <c r="E21" s="3">
        <v>43960</v>
      </c>
      <c r="F21" s="3">
        <f t="shared" si="0"/>
        <v>44144</v>
      </c>
      <c r="G21" t="b">
        <v>0</v>
      </c>
    </row>
    <row r="22" spans="1:7" x14ac:dyDescent="0.25">
      <c r="A22" t="s">
        <v>72</v>
      </c>
      <c r="B22" t="s">
        <v>9</v>
      </c>
      <c r="C22" t="s">
        <v>2</v>
      </c>
      <c r="D22">
        <v>3</v>
      </c>
      <c r="E22" s="3">
        <v>44144</v>
      </c>
      <c r="F22" s="3">
        <f t="shared" si="0"/>
        <v>44325</v>
      </c>
      <c r="G22" t="b">
        <v>0</v>
      </c>
    </row>
    <row r="23" spans="1:7" x14ac:dyDescent="0.25">
      <c r="A23" t="s">
        <v>73</v>
      </c>
      <c r="B23" t="s">
        <v>9</v>
      </c>
      <c r="C23" t="s">
        <v>2</v>
      </c>
      <c r="D23">
        <v>3</v>
      </c>
      <c r="E23" s="3">
        <v>44325</v>
      </c>
      <c r="F23" s="3">
        <f t="shared" si="0"/>
        <v>44509</v>
      </c>
      <c r="G23" t="b">
        <v>0</v>
      </c>
    </row>
    <row r="24" spans="1:7" x14ac:dyDescent="0.25">
      <c r="A24" t="s">
        <v>74</v>
      </c>
      <c r="B24" t="s">
        <v>9</v>
      </c>
      <c r="C24" t="s">
        <v>2</v>
      </c>
      <c r="D24">
        <v>3</v>
      </c>
      <c r="E24" s="3">
        <v>44509</v>
      </c>
      <c r="F24" s="3">
        <f t="shared" si="0"/>
        <v>44690</v>
      </c>
      <c r="G24" t="b">
        <v>0</v>
      </c>
    </row>
    <row r="25" spans="1:7" x14ac:dyDescent="0.25">
      <c r="A25" t="s">
        <v>75</v>
      </c>
      <c r="B25" t="s">
        <v>9</v>
      </c>
      <c r="C25" t="s">
        <v>2</v>
      </c>
      <c r="D25">
        <v>3</v>
      </c>
      <c r="E25" s="3">
        <v>44690</v>
      </c>
      <c r="F25" s="3">
        <f t="shared" si="0"/>
        <v>44874</v>
      </c>
      <c r="G25" t="b">
        <v>0</v>
      </c>
    </row>
    <row r="26" spans="1:7" x14ac:dyDescent="0.25">
      <c r="A26" t="s">
        <v>76</v>
      </c>
      <c r="B26" t="s">
        <v>9</v>
      </c>
      <c r="C26" t="s">
        <v>2</v>
      </c>
      <c r="D26">
        <v>3</v>
      </c>
      <c r="E26" s="3">
        <v>44874</v>
      </c>
      <c r="F26" s="3">
        <f t="shared" si="0"/>
        <v>45055</v>
      </c>
      <c r="G26" t="b">
        <v>0</v>
      </c>
    </row>
    <row r="27" spans="1:7" x14ac:dyDescent="0.25">
      <c r="A27" t="s">
        <v>77</v>
      </c>
      <c r="B27" t="s">
        <v>9</v>
      </c>
      <c r="C27" t="s">
        <v>2</v>
      </c>
      <c r="D27">
        <v>3</v>
      </c>
      <c r="E27" s="3">
        <v>45055</v>
      </c>
      <c r="F27" s="3">
        <f t="shared" si="0"/>
        <v>45239</v>
      </c>
      <c r="G27" t="b">
        <v>0</v>
      </c>
    </row>
    <row r="28" spans="1:7" x14ac:dyDescent="0.25">
      <c r="A28" t="s">
        <v>78</v>
      </c>
      <c r="B28" t="s">
        <v>9</v>
      </c>
      <c r="C28" t="s">
        <v>2</v>
      </c>
      <c r="D28">
        <v>3</v>
      </c>
      <c r="E28" s="3">
        <v>45239</v>
      </c>
      <c r="F28" s="3">
        <f t="shared" si="0"/>
        <v>45421</v>
      </c>
      <c r="G28" t="b">
        <v>0</v>
      </c>
    </row>
    <row r="29" spans="1:7" x14ac:dyDescent="0.25">
      <c r="A29" t="s">
        <v>79</v>
      </c>
      <c r="B29" t="s">
        <v>9</v>
      </c>
      <c r="C29" t="s">
        <v>2</v>
      </c>
      <c r="D29">
        <v>3</v>
      </c>
      <c r="E29" s="3">
        <v>45421</v>
      </c>
      <c r="F29" s="3">
        <f t="shared" si="0"/>
        <v>45605</v>
      </c>
      <c r="G29" t="b">
        <v>0</v>
      </c>
    </row>
    <row r="30" spans="1:7" x14ac:dyDescent="0.25">
      <c r="A30" t="s">
        <v>80</v>
      </c>
      <c r="B30" t="s">
        <v>9</v>
      </c>
      <c r="C30" t="s">
        <v>2</v>
      </c>
      <c r="D30">
        <v>3</v>
      </c>
      <c r="E30" s="3">
        <v>45605</v>
      </c>
      <c r="F30" s="3">
        <f t="shared" si="0"/>
        <v>45786</v>
      </c>
      <c r="G30" t="b">
        <v>0</v>
      </c>
    </row>
    <row r="31" spans="1:7" x14ac:dyDescent="0.25">
      <c r="A31" t="s">
        <v>81</v>
      </c>
      <c r="B31" t="s">
        <v>9</v>
      </c>
      <c r="C31" t="s">
        <v>2</v>
      </c>
      <c r="D31">
        <v>3</v>
      </c>
      <c r="E31" s="3">
        <v>45786</v>
      </c>
      <c r="F31" s="3">
        <f t="shared" si="0"/>
        <v>45970</v>
      </c>
      <c r="G31" t="b">
        <v>0</v>
      </c>
    </row>
    <row r="32" spans="1:7" x14ac:dyDescent="0.25">
      <c r="A32" t="s">
        <v>82</v>
      </c>
      <c r="B32" t="s">
        <v>9</v>
      </c>
      <c r="C32" t="s">
        <v>2</v>
      </c>
      <c r="D32">
        <v>3</v>
      </c>
      <c r="E32" s="3">
        <v>45970</v>
      </c>
      <c r="F32" s="3">
        <f t="shared" si="0"/>
        <v>46151</v>
      </c>
      <c r="G32" t="b">
        <v>1</v>
      </c>
    </row>
    <row r="33" spans="1:7" x14ac:dyDescent="0.25">
      <c r="A33" t="s">
        <v>83</v>
      </c>
      <c r="B33" t="s">
        <v>17</v>
      </c>
      <c r="C33" t="s">
        <v>5</v>
      </c>
      <c r="D33">
        <v>1</v>
      </c>
      <c r="E33" s="3">
        <v>45414</v>
      </c>
      <c r="F33" s="3">
        <f t="shared" si="0"/>
        <v>45598</v>
      </c>
      <c r="G33" t="b">
        <v>0</v>
      </c>
    </row>
    <row r="34" spans="1:7" x14ac:dyDescent="0.25">
      <c r="A34" t="s">
        <v>84</v>
      </c>
      <c r="B34" t="s">
        <v>17</v>
      </c>
      <c r="C34" t="s">
        <v>5</v>
      </c>
      <c r="D34">
        <v>1</v>
      </c>
      <c r="E34" s="3">
        <v>45598</v>
      </c>
      <c r="F34" s="3">
        <f t="shared" ref="F34:F65" si="1">DATE(YEAR(E34),MONTH(E34)+6,DAY(E34))</f>
        <v>45779</v>
      </c>
      <c r="G34" t="b">
        <v>0</v>
      </c>
    </row>
    <row r="35" spans="1:7" x14ac:dyDescent="0.25">
      <c r="A35" t="s">
        <v>85</v>
      </c>
      <c r="B35" t="s">
        <v>17</v>
      </c>
      <c r="C35" t="s">
        <v>5</v>
      </c>
      <c r="D35">
        <v>1</v>
      </c>
      <c r="E35" s="3">
        <v>45779</v>
      </c>
      <c r="F35" s="3">
        <f t="shared" si="1"/>
        <v>45963</v>
      </c>
      <c r="G35" t="b">
        <v>0</v>
      </c>
    </row>
    <row r="36" spans="1:7" x14ac:dyDescent="0.25">
      <c r="A36" t="s">
        <v>86</v>
      </c>
      <c r="B36" t="s">
        <v>17</v>
      </c>
      <c r="C36" t="s">
        <v>5</v>
      </c>
      <c r="D36">
        <v>1</v>
      </c>
      <c r="E36" s="3">
        <v>45963</v>
      </c>
      <c r="F36" s="3">
        <f t="shared" si="1"/>
        <v>46144</v>
      </c>
      <c r="G36" t="b">
        <v>1</v>
      </c>
    </row>
    <row r="37" spans="1:7" x14ac:dyDescent="0.25">
      <c r="A37" t="s">
        <v>87</v>
      </c>
      <c r="B37" t="s">
        <v>28</v>
      </c>
      <c r="C37" t="s">
        <v>4</v>
      </c>
      <c r="D37">
        <v>4</v>
      </c>
      <c r="E37" s="3">
        <v>45891</v>
      </c>
      <c r="F37" s="3">
        <f t="shared" si="1"/>
        <v>46075</v>
      </c>
      <c r="G37" t="b">
        <v>1</v>
      </c>
    </row>
    <row r="38" spans="1:7" x14ac:dyDescent="0.25">
      <c r="A38" t="s">
        <v>88</v>
      </c>
      <c r="B38" t="s">
        <v>10</v>
      </c>
      <c r="C38" t="s">
        <v>3</v>
      </c>
      <c r="D38">
        <v>1</v>
      </c>
      <c r="E38" s="3">
        <v>44924</v>
      </c>
      <c r="F38" s="3">
        <f t="shared" si="1"/>
        <v>45106</v>
      </c>
      <c r="G38" t="b">
        <v>0</v>
      </c>
    </row>
    <row r="39" spans="1:7" x14ac:dyDescent="0.25">
      <c r="A39" t="s">
        <v>113</v>
      </c>
      <c r="B39" t="s">
        <v>10</v>
      </c>
      <c r="C39" t="s">
        <v>3</v>
      </c>
      <c r="D39">
        <v>1</v>
      </c>
      <c r="E39" s="3">
        <v>45106</v>
      </c>
      <c r="F39" s="3">
        <f t="shared" si="1"/>
        <v>45289</v>
      </c>
      <c r="G39" t="b">
        <v>0</v>
      </c>
    </row>
    <row r="40" spans="1:7" x14ac:dyDescent="0.25">
      <c r="A40" t="s">
        <v>114</v>
      </c>
      <c r="B40" t="s">
        <v>10</v>
      </c>
      <c r="C40" t="s">
        <v>3</v>
      </c>
      <c r="D40">
        <v>1</v>
      </c>
      <c r="E40" s="3">
        <v>45289</v>
      </c>
      <c r="F40" s="3">
        <f t="shared" si="1"/>
        <v>45472</v>
      </c>
      <c r="G40" t="b">
        <v>0</v>
      </c>
    </row>
    <row r="41" spans="1:7" x14ac:dyDescent="0.25">
      <c r="A41" t="s">
        <v>115</v>
      </c>
      <c r="B41" t="s">
        <v>10</v>
      </c>
      <c r="C41" t="s">
        <v>3</v>
      </c>
      <c r="D41">
        <v>1</v>
      </c>
      <c r="E41" s="3">
        <v>45472</v>
      </c>
      <c r="F41" s="3">
        <f t="shared" si="1"/>
        <v>45655</v>
      </c>
      <c r="G41" t="b">
        <v>0</v>
      </c>
    </row>
    <row r="42" spans="1:7" x14ac:dyDescent="0.25">
      <c r="A42" t="s">
        <v>116</v>
      </c>
      <c r="B42" t="s">
        <v>10</v>
      </c>
      <c r="C42" t="s">
        <v>3</v>
      </c>
      <c r="D42">
        <v>1</v>
      </c>
      <c r="E42" s="3">
        <v>45655</v>
      </c>
      <c r="F42" s="3">
        <f t="shared" si="1"/>
        <v>45837</v>
      </c>
      <c r="G42" t="b">
        <v>0</v>
      </c>
    </row>
    <row r="43" spans="1:7" x14ac:dyDescent="0.25">
      <c r="A43" t="s">
        <v>89</v>
      </c>
      <c r="B43" t="s">
        <v>13</v>
      </c>
      <c r="C43" t="s">
        <v>4</v>
      </c>
      <c r="D43">
        <v>1</v>
      </c>
      <c r="E43" s="3">
        <v>45330</v>
      </c>
      <c r="F43" s="3">
        <f t="shared" si="1"/>
        <v>45512</v>
      </c>
      <c r="G43" t="b">
        <v>0</v>
      </c>
    </row>
    <row r="44" spans="1:7" x14ac:dyDescent="0.25">
      <c r="A44" t="s">
        <v>117</v>
      </c>
      <c r="B44" t="s">
        <v>13</v>
      </c>
      <c r="C44" t="s">
        <v>4</v>
      </c>
      <c r="D44">
        <v>1</v>
      </c>
      <c r="E44" s="3">
        <v>45512</v>
      </c>
      <c r="F44" s="3">
        <f t="shared" si="1"/>
        <v>45696</v>
      </c>
      <c r="G44" t="b">
        <v>0</v>
      </c>
    </row>
    <row r="45" spans="1:7" x14ac:dyDescent="0.25">
      <c r="A45" t="s">
        <v>118</v>
      </c>
      <c r="B45" t="s">
        <v>13</v>
      </c>
      <c r="C45" t="s">
        <v>4</v>
      </c>
      <c r="D45">
        <v>1</v>
      </c>
      <c r="E45" s="3">
        <v>45696</v>
      </c>
      <c r="F45" s="3">
        <f t="shared" si="1"/>
        <v>45877</v>
      </c>
      <c r="G45" t="b">
        <v>0</v>
      </c>
    </row>
    <row r="46" spans="1:7" x14ac:dyDescent="0.25">
      <c r="A46" t="s">
        <v>90</v>
      </c>
      <c r="B46" t="s">
        <v>26</v>
      </c>
      <c r="C46" t="s">
        <v>3</v>
      </c>
      <c r="D46">
        <v>1</v>
      </c>
      <c r="E46" s="3">
        <v>45849</v>
      </c>
      <c r="F46" s="3">
        <f t="shared" si="1"/>
        <v>46033</v>
      </c>
      <c r="G46" t="b">
        <v>0</v>
      </c>
    </row>
    <row r="47" spans="1:7" x14ac:dyDescent="0.25">
      <c r="A47" t="s">
        <v>91</v>
      </c>
      <c r="B47" t="s">
        <v>26</v>
      </c>
      <c r="C47" t="s">
        <v>3</v>
      </c>
      <c r="D47">
        <v>1</v>
      </c>
      <c r="E47" s="3">
        <v>46033</v>
      </c>
      <c r="F47" s="3">
        <f t="shared" si="1"/>
        <v>46214</v>
      </c>
      <c r="G47" t="b">
        <v>1</v>
      </c>
    </row>
    <row r="48" spans="1:7" x14ac:dyDescent="0.25">
      <c r="A48" t="s">
        <v>92</v>
      </c>
      <c r="B48" t="s">
        <v>8</v>
      </c>
      <c r="C48" t="s">
        <v>2</v>
      </c>
      <c r="D48">
        <v>2</v>
      </c>
      <c r="E48" s="3">
        <v>45394</v>
      </c>
      <c r="F48" s="3">
        <f t="shared" si="1"/>
        <v>45577</v>
      </c>
      <c r="G48" t="b">
        <v>0</v>
      </c>
    </row>
    <row r="49" spans="1:7" x14ac:dyDescent="0.25">
      <c r="A49" t="s">
        <v>93</v>
      </c>
      <c r="B49" t="s">
        <v>8</v>
      </c>
      <c r="C49" t="s">
        <v>2</v>
      </c>
      <c r="D49">
        <v>2</v>
      </c>
      <c r="E49" s="3">
        <v>45577</v>
      </c>
      <c r="F49" s="3">
        <f t="shared" si="1"/>
        <v>45759</v>
      </c>
      <c r="G49" t="b">
        <v>0</v>
      </c>
    </row>
    <row r="50" spans="1:7" x14ac:dyDescent="0.25">
      <c r="A50" t="s">
        <v>94</v>
      </c>
      <c r="B50" t="s">
        <v>8</v>
      </c>
      <c r="C50" t="s">
        <v>2</v>
      </c>
      <c r="D50">
        <v>2</v>
      </c>
      <c r="E50" s="3">
        <v>45759</v>
      </c>
      <c r="F50" s="3">
        <f t="shared" si="1"/>
        <v>45942</v>
      </c>
      <c r="G50" t="b">
        <v>0</v>
      </c>
    </row>
    <row r="51" spans="1:7" x14ac:dyDescent="0.25">
      <c r="A51" t="s">
        <v>95</v>
      </c>
      <c r="B51" t="s">
        <v>8</v>
      </c>
      <c r="C51" t="s">
        <v>2</v>
      </c>
      <c r="D51">
        <v>2</v>
      </c>
      <c r="E51" s="3">
        <v>45942</v>
      </c>
      <c r="F51" s="3">
        <f t="shared" si="1"/>
        <v>46124</v>
      </c>
      <c r="G51" t="b">
        <v>1</v>
      </c>
    </row>
    <row r="52" spans="1:7" x14ac:dyDescent="0.25">
      <c r="A52" t="s">
        <v>96</v>
      </c>
      <c r="B52" t="s">
        <v>12</v>
      </c>
      <c r="C52" t="s">
        <v>3</v>
      </c>
      <c r="D52">
        <v>3</v>
      </c>
      <c r="E52" s="3">
        <v>45010</v>
      </c>
      <c r="F52" s="3">
        <f t="shared" si="1"/>
        <v>45194</v>
      </c>
      <c r="G52" t="b">
        <v>0</v>
      </c>
    </row>
    <row r="53" spans="1:7" x14ac:dyDescent="0.25">
      <c r="A53" t="s">
        <v>97</v>
      </c>
      <c r="B53" t="s">
        <v>12</v>
      </c>
      <c r="C53" t="s">
        <v>3</v>
      </c>
      <c r="D53">
        <v>3</v>
      </c>
      <c r="E53" s="3">
        <v>45194</v>
      </c>
      <c r="F53" s="3">
        <f t="shared" si="1"/>
        <v>45376</v>
      </c>
      <c r="G53" t="b">
        <v>0</v>
      </c>
    </row>
    <row r="54" spans="1:7" x14ac:dyDescent="0.25">
      <c r="A54" t="s">
        <v>98</v>
      </c>
      <c r="B54" t="s">
        <v>12</v>
      </c>
      <c r="C54" t="s">
        <v>3</v>
      </c>
      <c r="D54">
        <v>3</v>
      </c>
      <c r="E54" s="3">
        <v>45376</v>
      </c>
      <c r="F54" s="3">
        <f t="shared" si="1"/>
        <v>45560</v>
      </c>
      <c r="G54" t="b">
        <v>0</v>
      </c>
    </row>
    <row r="55" spans="1:7" x14ac:dyDescent="0.25">
      <c r="A55" t="s">
        <v>99</v>
      </c>
      <c r="B55" t="s">
        <v>12</v>
      </c>
      <c r="C55" t="s">
        <v>3</v>
      </c>
      <c r="D55">
        <v>3</v>
      </c>
      <c r="E55" s="3">
        <v>45560</v>
      </c>
      <c r="F55" s="3">
        <f t="shared" si="1"/>
        <v>45741</v>
      </c>
      <c r="G55" t="b">
        <v>0</v>
      </c>
    </row>
    <row r="56" spans="1:7" x14ac:dyDescent="0.25">
      <c r="A56" t="s">
        <v>100</v>
      </c>
      <c r="B56" t="s">
        <v>12</v>
      </c>
      <c r="C56" t="s">
        <v>3</v>
      </c>
      <c r="D56">
        <v>3</v>
      </c>
      <c r="E56" s="3">
        <v>45741</v>
      </c>
      <c r="F56" s="3">
        <f t="shared" si="1"/>
        <v>45925</v>
      </c>
      <c r="G56" t="b">
        <v>0</v>
      </c>
    </row>
    <row r="57" spans="1:7" x14ac:dyDescent="0.25">
      <c r="A57" t="s">
        <v>101</v>
      </c>
      <c r="B57" t="s">
        <v>12</v>
      </c>
      <c r="C57" t="s">
        <v>3</v>
      </c>
      <c r="D57">
        <v>3</v>
      </c>
      <c r="E57" s="3">
        <v>45925</v>
      </c>
      <c r="F57" s="3">
        <f t="shared" si="1"/>
        <v>46106</v>
      </c>
      <c r="G57" t="b">
        <v>1</v>
      </c>
    </row>
    <row r="58" spans="1:7" x14ac:dyDescent="0.25">
      <c r="A58" t="s">
        <v>102</v>
      </c>
      <c r="B58" t="s">
        <v>30</v>
      </c>
      <c r="C58" t="s">
        <v>4</v>
      </c>
      <c r="D58">
        <v>3</v>
      </c>
      <c r="E58" s="3">
        <v>45982</v>
      </c>
      <c r="F58" s="3">
        <f t="shared" si="1"/>
        <v>46163</v>
      </c>
      <c r="G58" t="b">
        <v>1</v>
      </c>
    </row>
    <row r="59" spans="1:7" x14ac:dyDescent="0.25">
      <c r="A59" t="s">
        <v>103</v>
      </c>
      <c r="B59" t="s">
        <v>11</v>
      </c>
      <c r="C59" t="s">
        <v>3</v>
      </c>
      <c r="D59">
        <v>2</v>
      </c>
      <c r="E59" s="3">
        <v>45245</v>
      </c>
      <c r="F59" s="3">
        <f t="shared" si="1"/>
        <v>45427</v>
      </c>
      <c r="G59" t="b">
        <v>0</v>
      </c>
    </row>
    <row r="60" spans="1:7" x14ac:dyDescent="0.25">
      <c r="A60" t="s">
        <v>119</v>
      </c>
      <c r="B60" t="s">
        <v>11</v>
      </c>
      <c r="C60" t="s">
        <v>3</v>
      </c>
      <c r="D60">
        <v>2</v>
      </c>
      <c r="E60" s="3">
        <v>45427</v>
      </c>
      <c r="F60" s="3">
        <f t="shared" si="1"/>
        <v>45611</v>
      </c>
      <c r="G60" t="b">
        <v>0</v>
      </c>
    </row>
    <row r="61" spans="1:7" x14ac:dyDescent="0.25">
      <c r="A61" t="s">
        <v>120</v>
      </c>
      <c r="B61" t="s">
        <v>11</v>
      </c>
      <c r="C61" t="s">
        <v>3</v>
      </c>
      <c r="D61">
        <v>2</v>
      </c>
      <c r="E61" s="3">
        <v>45611</v>
      </c>
      <c r="F61" s="3">
        <f t="shared" si="1"/>
        <v>45792</v>
      </c>
      <c r="G61" t="b">
        <v>0</v>
      </c>
    </row>
    <row r="62" spans="1:7" x14ac:dyDescent="0.25">
      <c r="A62" t="s">
        <v>121</v>
      </c>
      <c r="B62" t="s">
        <v>11</v>
      </c>
      <c r="C62" t="s">
        <v>3</v>
      </c>
      <c r="D62">
        <v>2</v>
      </c>
      <c r="E62" s="3">
        <v>45792</v>
      </c>
      <c r="F62" s="3">
        <f t="shared" si="1"/>
        <v>45976</v>
      </c>
      <c r="G62" t="b">
        <v>0</v>
      </c>
    </row>
    <row r="63" spans="1:7" x14ac:dyDescent="0.25">
      <c r="A63" t="s">
        <v>104</v>
      </c>
      <c r="B63" t="s">
        <v>18</v>
      </c>
      <c r="C63" t="s">
        <v>5</v>
      </c>
      <c r="D63">
        <v>2</v>
      </c>
      <c r="E63" s="3">
        <v>45502</v>
      </c>
      <c r="F63" s="3">
        <f t="shared" si="1"/>
        <v>45686</v>
      </c>
      <c r="G63" t="b">
        <v>0</v>
      </c>
    </row>
    <row r="64" spans="1:7" x14ac:dyDescent="0.25">
      <c r="A64" t="s">
        <v>105</v>
      </c>
      <c r="B64" t="s">
        <v>18</v>
      </c>
      <c r="C64" t="s">
        <v>5</v>
      </c>
      <c r="D64">
        <v>2</v>
      </c>
      <c r="E64" s="3">
        <v>45686</v>
      </c>
      <c r="F64" s="3">
        <f t="shared" si="1"/>
        <v>45867</v>
      </c>
      <c r="G64" t="b">
        <v>0</v>
      </c>
    </row>
    <row r="65" spans="1:7" x14ac:dyDescent="0.25">
      <c r="A65" t="s">
        <v>106</v>
      </c>
      <c r="B65" t="s">
        <v>18</v>
      </c>
      <c r="C65" t="s">
        <v>5</v>
      </c>
      <c r="D65">
        <v>2</v>
      </c>
      <c r="E65" s="3">
        <v>45867</v>
      </c>
      <c r="F65" s="3">
        <f t="shared" si="1"/>
        <v>46051</v>
      </c>
      <c r="G65" t="b">
        <v>1</v>
      </c>
    </row>
    <row r="66" spans="1:7" x14ac:dyDescent="0.25">
      <c r="A66" t="s">
        <v>107</v>
      </c>
      <c r="B66" t="s">
        <v>27</v>
      </c>
      <c r="C66" t="s">
        <v>4</v>
      </c>
      <c r="D66">
        <v>1</v>
      </c>
      <c r="E66" s="3">
        <v>45884</v>
      </c>
      <c r="F66" s="3">
        <f t="shared" ref="F66:F68" si="2">DATE(YEAR(E66),MONTH(E66)+6,DAY(E66))</f>
        <v>46068</v>
      </c>
      <c r="G66" t="b">
        <v>1</v>
      </c>
    </row>
    <row r="67" spans="1:7" x14ac:dyDescent="0.25">
      <c r="A67" s="13" t="s">
        <v>108</v>
      </c>
      <c r="B67" t="s">
        <v>16</v>
      </c>
      <c r="C67" t="s">
        <v>4</v>
      </c>
      <c r="D67">
        <v>4</v>
      </c>
      <c r="E67" s="3">
        <v>45462</v>
      </c>
      <c r="F67" s="3">
        <f t="shared" si="2"/>
        <v>45645</v>
      </c>
      <c r="G67" t="b">
        <v>0</v>
      </c>
    </row>
    <row r="68" spans="1:7" x14ac:dyDescent="0.25">
      <c r="A68" t="s">
        <v>122</v>
      </c>
      <c r="B68" t="s">
        <v>16</v>
      </c>
      <c r="C68" t="s">
        <v>4</v>
      </c>
      <c r="D68">
        <v>4</v>
      </c>
      <c r="E68" s="3">
        <v>45645</v>
      </c>
      <c r="F68" s="3">
        <f t="shared" si="2"/>
        <v>45827</v>
      </c>
      <c r="G68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C477-38BE-479C-9C35-16FB6E13005D}">
  <dimension ref="A1:R37"/>
  <sheetViews>
    <sheetView zoomScale="115" zoomScaleNormal="115" workbookViewId="0">
      <selection activeCell="C31" sqref="C31"/>
    </sheetView>
  </sheetViews>
  <sheetFormatPr baseColWidth="10" defaultRowHeight="15" x14ac:dyDescent="0.25"/>
  <cols>
    <col min="1" max="1" width="26.85546875" bestFit="1" customWidth="1"/>
    <col min="2" max="2" width="15.140625" bestFit="1" customWidth="1"/>
    <col min="3" max="3" width="15.42578125" bestFit="1" customWidth="1"/>
    <col min="4" max="4" width="18.140625" bestFit="1" customWidth="1"/>
    <col min="5" max="5" width="15.140625" bestFit="1" customWidth="1"/>
    <col min="6" max="6" width="12" bestFit="1" customWidth="1"/>
    <col min="7" max="8" width="12.5703125" bestFit="1" customWidth="1"/>
    <col min="9" max="9" width="13.85546875" bestFit="1" customWidth="1"/>
    <col min="10" max="10" width="16.28515625" bestFit="1" customWidth="1"/>
    <col min="11" max="11" width="33.140625" bestFit="1" customWidth="1"/>
    <col min="12" max="12" width="13.7109375" bestFit="1" customWidth="1"/>
    <col min="13" max="13" width="18.7109375" bestFit="1" customWidth="1"/>
    <col min="14" max="14" width="18.28515625" bestFit="1" customWidth="1"/>
    <col min="15" max="15" width="18.42578125" bestFit="1" customWidth="1"/>
    <col min="16" max="16" width="20.42578125" bestFit="1" customWidth="1"/>
    <col min="17" max="17" width="19.85546875" bestFit="1" customWidth="1"/>
    <col min="18" max="21" width="11.140625" bestFit="1" customWidth="1"/>
    <col min="22" max="22" width="18.85546875" bestFit="1" customWidth="1"/>
    <col min="23" max="23" width="17.28515625" bestFit="1" customWidth="1"/>
    <col min="24" max="24" width="12.5703125" bestFit="1" customWidth="1"/>
  </cols>
  <sheetData>
    <row r="1" spans="1:18" x14ac:dyDescent="0.25">
      <c r="A1" s="5" t="s">
        <v>21</v>
      </c>
      <c r="B1" t="s">
        <v>23</v>
      </c>
      <c r="D1" s="5" t="s">
        <v>123</v>
      </c>
      <c r="E1" t="s">
        <v>110</v>
      </c>
      <c r="H1" s="4"/>
      <c r="K1" s="5" t="s">
        <v>1</v>
      </c>
      <c r="L1" t="s">
        <v>9</v>
      </c>
    </row>
    <row r="2" spans="1:18" x14ac:dyDescent="0.25">
      <c r="A2" s="7" t="s">
        <v>38</v>
      </c>
      <c r="B2" s="6">
        <v>98305227</v>
      </c>
      <c r="D2" s="5" t="s">
        <v>40</v>
      </c>
      <c r="E2" t="s">
        <v>42</v>
      </c>
    </row>
    <row r="3" spans="1:18" x14ac:dyDescent="0.25">
      <c r="A3" s="14">
        <v>45667</v>
      </c>
      <c r="B3" s="6">
        <v>8221690</v>
      </c>
      <c r="D3" s="5" t="s">
        <v>41</v>
      </c>
      <c r="E3" s="7">
        <v>2025</v>
      </c>
      <c r="K3" s="5" t="s">
        <v>138</v>
      </c>
      <c r="L3" s="5" t="s">
        <v>40</v>
      </c>
      <c r="M3" s="5" t="s">
        <v>41</v>
      </c>
      <c r="N3" s="5" t="s">
        <v>123</v>
      </c>
      <c r="O3" s="5" t="s">
        <v>139</v>
      </c>
      <c r="P3" s="5" t="s">
        <v>140</v>
      </c>
      <c r="Q3" s="5" t="s">
        <v>141</v>
      </c>
      <c r="R3" s="5" t="s">
        <v>142</v>
      </c>
    </row>
    <row r="4" spans="1:18" x14ac:dyDescent="0.25">
      <c r="A4" s="14">
        <v>45698</v>
      </c>
      <c r="B4" s="6">
        <v>8221690</v>
      </c>
      <c r="K4" s="3">
        <v>45667</v>
      </c>
      <c r="L4" t="s">
        <v>42</v>
      </c>
      <c r="M4">
        <v>2024</v>
      </c>
      <c r="N4" t="s">
        <v>124</v>
      </c>
      <c r="O4" s="6">
        <v>600000</v>
      </c>
      <c r="P4" s="6">
        <v>60000</v>
      </c>
      <c r="Q4" s="6">
        <v>0</v>
      </c>
      <c r="R4" s="6">
        <v>540000</v>
      </c>
    </row>
    <row r="5" spans="1:18" x14ac:dyDescent="0.25">
      <c r="A5" s="14">
        <v>45730</v>
      </c>
      <c r="B5" s="6">
        <v>8490690</v>
      </c>
      <c r="D5" s="5" t="s">
        <v>21</v>
      </c>
      <c r="E5" t="s">
        <v>126</v>
      </c>
      <c r="F5" t="s">
        <v>24</v>
      </c>
      <c r="G5" t="s">
        <v>25</v>
      </c>
      <c r="H5" t="s">
        <v>23</v>
      </c>
      <c r="K5" s="3">
        <v>45698</v>
      </c>
      <c r="L5" t="s">
        <v>43</v>
      </c>
      <c r="M5">
        <v>2025</v>
      </c>
      <c r="N5" t="s">
        <v>124</v>
      </c>
      <c r="O5" s="6">
        <v>600000</v>
      </c>
      <c r="P5" s="6">
        <v>60000</v>
      </c>
      <c r="Q5" s="6">
        <v>0</v>
      </c>
      <c r="R5" s="6">
        <v>540000</v>
      </c>
    </row>
    <row r="6" spans="1:18" x14ac:dyDescent="0.25">
      <c r="A6" s="14">
        <v>45755</v>
      </c>
      <c r="B6" s="6">
        <v>8285670</v>
      </c>
      <c r="D6" s="7" t="s">
        <v>2</v>
      </c>
      <c r="E6" s="6">
        <v>2030300</v>
      </c>
      <c r="F6" s="6">
        <v>199030</v>
      </c>
      <c r="G6" s="6">
        <v>40000</v>
      </c>
      <c r="H6" s="6">
        <v>1791270</v>
      </c>
      <c r="K6" s="3">
        <v>45730</v>
      </c>
      <c r="L6" t="s">
        <v>44</v>
      </c>
      <c r="M6">
        <v>2025</v>
      </c>
      <c r="N6" t="s">
        <v>124</v>
      </c>
      <c r="O6" s="6">
        <v>600000</v>
      </c>
      <c r="P6" s="6">
        <v>60000</v>
      </c>
      <c r="Q6" s="6">
        <v>0</v>
      </c>
      <c r="R6" s="6">
        <v>540000</v>
      </c>
    </row>
    <row r="7" spans="1:18" x14ac:dyDescent="0.25">
      <c r="A7" s="14">
        <v>45786</v>
      </c>
      <c r="B7" s="6">
        <v>8315100</v>
      </c>
      <c r="D7" s="7" t="s">
        <v>3</v>
      </c>
      <c r="E7" s="6">
        <v>2152200</v>
      </c>
      <c r="F7" s="6">
        <v>209220</v>
      </c>
      <c r="G7" s="6">
        <v>60000</v>
      </c>
      <c r="H7" s="6">
        <v>1882980</v>
      </c>
      <c r="K7" s="3">
        <v>45755</v>
      </c>
      <c r="L7" t="s">
        <v>45</v>
      </c>
      <c r="M7">
        <v>2025</v>
      </c>
      <c r="N7" t="s">
        <v>124</v>
      </c>
      <c r="O7" s="6">
        <v>600000</v>
      </c>
      <c r="P7" s="6">
        <v>60000</v>
      </c>
      <c r="Q7" s="6">
        <v>0</v>
      </c>
      <c r="R7" s="6">
        <v>540000</v>
      </c>
    </row>
    <row r="8" spans="1:18" x14ac:dyDescent="0.25">
      <c r="A8" s="14">
        <v>45835</v>
      </c>
      <c r="B8" s="6">
        <v>8355132</v>
      </c>
      <c r="D8" s="7" t="s">
        <v>4</v>
      </c>
      <c r="E8" s="6">
        <v>3053700</v>
      </c>
      <c r="F8" s="6">
        <v>297370</v>
      </c>
      <c r="G8" s="6">
        <v>80000</v>
      </c>
      <c r="H8" s="6">
        <v>2676330</v>
      </c>
      <c r="K8" s="3">
        <v>45786</v>
      </c>
      <c r="L8" t="s">
        <v>46</v>
      </c>
      <c r="M8">
        <v>2025</v>
      </c>
      <c r="N8" t="s">
        <v>124</v>
      </c>
      <c r="O8" s="6">
        <v>600000</v>
      </c>
      <c r="P8" s="6">
        <v>60000</v>
      </c>
      <c r="Q8" s="6">
        <v>0</v>
      </c>
      <c r="R8" s="6">
        <v>540000</v>
      </c>
    </row>
    <row r="9" spans="1:18" x14ac:dyDescent="0.25">
      <c r="A9" s="14">
        <v>45846</v>
      </c>
      <c r="B9" s="6">
        <v>7174242</v>
      </c>
      <c r="D9" s="7" t="s">
        <v>5</v>
      </c>
      <c r="E9" s="6">
        <v>2710320</v>
      </c>
      <c r="F9" s="6">
        <v>263032</v>
      </c>
      <c r="G9" s="6">
        <v>80000</v>
      </c>
      <c r="H9" s="6">
        <v>2367288</v>
      </c>
      <c r="K9" s="3">
        <v>45835</v>
      </c>
      <c r="L9" t="s">
        <v>47</v>
      </c>
      <c r="M9">
        <v>2025</v>
      </c>
      <c r="N9" t="s">
        <v>124</v>
      </c>
      <c r="O9" s="6">
        <v>631200</v>
      </c>
      <c r="P9" s="6">
        <v>63120</v>
      </c>
      <c r="Q9" s="6">
        <v>0</v>
      </c>
      <c r="R9" s="6">
        <v>568080</v>
      </c>
    </row>
    <row r="10" spans="1:18" x14ac:dyDescent="0.25">
      <c r="A10" s="14">
        <v>45877</v>
      </c>
      <c r="B10" s="6">
        <v>7876242</v>
      </c>
      <c r="D10" s="7" t="s">
        <v>22</v>
      </c>
      <c r="E10" s="6">
        <v>9946520</v>
      </c>
      <c r="F10" s="6">
        <v>968652</v>
      </c>
      <c r="G10" s="6">
        <v>260000</v>
      </c>
      <c r="H10" s="6">
        <v>8717868</v>
      </c>
      <c r="K10" s="3">
        <v>45846</v>
      </c>
      <c r="L10" t="s">
        <v>48</v>
      </c>
      <c r="M10">
        <v>2025</v>
      </c>
      <c r="N10" t="s">
        <v>124</v>
      </c>
      <c r="O10" s="6">
        <v>631200</v>
      </c>
      <c r="P10" s="6">
        <v>63120</v>
      </c>
      <c r="Q10" s="6">
        <v>0</v>
      </c>
      <c r="R10" s="6">
        <v>568080</v>
      </c>
    </row>
    <row r="11" spans="1:18" x14ac:dyDescent="0.25">
      <c r="A11" s="14">
        <v>45910</v>
      </c>
      <c r="B11" s="6">
        <v>7898242</v>
      </c>
      <c r="K11" s="3">
        <v>45877</v>
      </c>
      <c r="L11" t="s">
        <v>49</v>
      </c>
      <c r="M11">
        <v>2025</v>
      </c>
      <c r="N11" t="s">
        <v>124</v>
      </c>
      <c r="O11" s="6">
        <v>631200</v>
      </c>
      <c r="P11" s="6">
        <v>63120</v>
      </c>
      <c r="Q11" s="6">
        <v>0</v>
      </c>
      <c r="R11" s="6">
        <v>568080</v>
      </c>
    </row>
    <row r="12" spans="1:18" x14ac:dyDescent="0.25">
      <c r="A12" s="14">
        <v>45939</v>
      </c>
      <c r="B12" s="6">
        <v>8755465</v>
      </c>
      <c r="K12" s="3">
        <v>45910</v>
      </c>
      <c r="L12" t="s">
        <v>50</v>
      </c>
      <c r="M12">
        <v>2025</v>
      </c>
      <c r="N12" t="s">
        <v>124</v>
      </c>
      <c r="O12" s="6">
        <v>631200</v>
      </c>
      <c r="P12" s="6">
        <v>63120</v>
      </c>
      <c r="Q12" s="6">
        <v>0</v>
      </c>
      <c r="R12" s="6">
        <v>568080</v>
      </c>
    </row>
    <row r="13" spans="1:18" x14ac:dyDescent="0.25">
      <c r="A13" s="14">
        <v>45969</v>
      </c>
      <c r="B13" s="6">
        <v>8642132</v>
      </c>
      <c r="C13" s="1"/>
      <c r="K13" s="3">
        <v>45939</v>
      </c>
      <c r="L13" t="s">
        <v>51</v>
      </c>
      <c r="M13">
        <v>2025</v>
      </c>
      <c r="N13" t="s">
        <v>124</v>
      </c>
      <c r="O13" s="6">
        <v>631200</v>
      </c>
      <c r="P13" s="6">
        <v>63120</v>
      </c>
      <c r="Q13" s="6">
        <v>0</v>
      </c>
      <c r="R13" s="6">
        <v>568080</v>
      </c>
    </row>
    <row r="14" spans="1:18" x14ac:dyDescent="0.25">
      <c r="A14" s="14">
        <v>46002</v>
      </c>
      <c r="B14" s="6">
        <v>8068932</v>
      </c>
      <c r="K14" s="3">
        <v>45969</v>
      </c>
      <c r="L14" t="s">
        <v>52</v>
      </c>
      <c r="M14">
        <v>2025</v>
      </c>
      <c r="N14" t="s">
        <v>124</v>
      </c>
      <c r="O14" s="6">
        <v>631200</v>
      </c>
      <c r="P14" s="6">
        <v>63120</v>
      </c>
      <c r="Q14" s="6">
        <v>0</v>
      </c>
      <c r="R14" s="6">
        <v>568080</v>
      </c>
    </row>
    <row r="15" spans="1:18" x14ac:dyDescent="0.25">
      <c r="A15" s="7" t="s">
        <v>109</v>
      </c>
      <c r="B15" s="6">
        <v>8717868</v>
      </c>
      <c r="K15" s="3">
        <v>46002</v>
      </c>
      <c r="L15" t="s">
        <v>53</v>
      </c>
      <c r="M15">
        <v>2025</v>
      </c>
      <c r="N15" t="s">
        <v>124</v>
      </c>
      <c r="O15" s="6">
        <v>631200</v>
      </c>
      <c r="P15" s="6">
        <v>63120</v>
      </c>
      <c r="Q15" s="6">
        <v>0</v>
      </c>
      <c r="R15" s="6">
        <v>568080</v>
      </c>
    </row>
    <row r="16" spans="1:18" x14ac:dyDescent="0.25">
      <c r="A16" s="14">
        <v>46031</v>
      </c>
      <c r="B16" s="6">
        <v>8717868</v>
      </c>
      <c r="K16" s="3">
        <v>46031</v>
      </c>
      <c r="L16" t="s">
        <v>42</v>
      </c>
      <c r="M16">
        <v>2025</v>
      </c>
      <c r="N16" t="s">
        <v>124</v>
      </c>
      <c r="O16" s="6">
        <v>631200</v>
      </c>
      <c r="P16" s="6">
        <v>63120</v>
      </c>
      <c r="Q16" s="6">
        <v>0</v>
      </c>
      <c r="R16" s="6">
        <v>568080</v>
      </c>
    </row>
    <row r="17" spans="1:11" x14ac:dyDescent="0.25">
      <c r="A17" s="7" t="s">
        <v>22</v>
      </c>
      <c r="B17" s="6">
        <v>107023095</v>
      </c>
      <c r="K17" t="s">
        <v>22</v>
      </c>
    </row>
    <row r="20" spans="1:11" x14ac:dyDescent="0.25">
      <c r="D20" s="5" t="s">
        <v>32</v>
      </c>
      <c r="E20" t="s">
        <v>9</v>
      </c>
    </row>
    <row r="22" spans="1:11" x14ac:dyDescent="0.25">
      <c r="D22" s="5" t="s">
        <v>33</v>
      </c>
      <c r="E22" s="5" t="s">
        <v>34</v>
      </c>
      <c r="F22" s="5" t="s">
        <v>35</v>
      </c>
    </row>
    <row r="23" spans="1:11" x14ac:dyDescent="0.25">
      <c r="D23" s="3">
        <v>43594</v>
      </c>
      <c r="E23" s="3">
        <v>43778</v>
      </c>
      <c r="F23" t="s">
        <v>136</v>
      </c>
    </row>
    <row r="24" spans="1:11" x14ac:dyDescent="0.25">
      <c r="D24" s="3">
        <v>43778</v>
      </c>
      <c r="E24" s="3">
        <v>43960</v>
      </c>
      <c r="F24" t="s">
        <v>136</v>
      </c>
    </row>
    <row r="25" spans="1:11" x14ac:dyDescent="0.25">
      <c r="D25" s="3">
        <v>43960</v>
      </c>
      <c r="E25" s="3">
        <v>44144</v>
      </c>
      <c r="F25" t="s">
        <v>136</v>
      </c>
    </row>
    <row r="26" spans="1:11" x14ac:dyDescent="0.25">
      <c r="D26" s="3">
        <v>44144</v>
      </c>
      <c r="E26" s="3">
        <v>44325</v>
      </c>
      <c r="F26" t="s">
        <v>136</v>
      </c>
    </row>
    <row r="27" spans="1:11" x14ac:dyDescent="0.25">
      <c r="D27" s="3">
        <v>44325</v>
      </c>
      <c r="E27" s="3">
        <v>44509</v>
      </c>
      <c r="F27" t="s">
        <v>136</v>
      </c>
    </row>
    <row r="28" spans="1:11" x14ac:dyDescent="0.25">
      <c r="D28" s="3">
        <v>44509</v>
      </c>
      <c r="E28" s="3">
        <v>44690</v>
      </c>
      <c r="F28" t="s">
        <v>136</v>
      </c>
    </row>
    <row r="29" spans="1:11" x14ac:dyDescent="0.25">
      <c r="D29" s="3">
        <v>44690</v>
      </c>
      <c r="E29" s="3">
        <v>44874</v>
      </c>
      <c r="F29" t="s">
        <v>136</v>
      </c>
    </row>
    <row r="30" spans="1:11" x14ac:dyDescent="0.25">
      <c r="D30" s="3">
        <v>44874</v>
      </c>
      <c r="E30" s="3">
        <v>45055</v>
      </c>
      <c r="F30" t="s">
        <v>136</v>
      </c>
    </row>
    <row r="31" spans="1:11" x14ac:dyDescent="0.25">
      <c r="D31" s="3">
        <v>45055</v>
      </c>
      <c r="E31" s="3">
        <v>45239</v>
      </c>
      <c r="F31" t="s">
        <v>136</v>
      </c>
    </row>
    <row r="32" spans="1:11" x14ac:dyDescent="0.25">
      <c r="D32" s="3">
        <v>45239</v>
      </c>
      <c r="E32" s="3">
        <v>45421</v>
      </c>
      <c r="F32" t="s">
        <v>136</v>
      </c>
    </row>
    <row r="33" spans="4:6" x14ac:dyDescent="0.25">
      <c r="D33" s="3">
        <v>45421</v>
      </c>
      <c r="E33" s="3">
        <v>45605</v>
      </c>
      <c r="F33" t="s">
        <v>136</v>
      </c>
    </row>
    <row r="34" spans="4:6" x14ac:dyDescent="0.25">
      <c r="D34" s="3">
        <v>45605</v>
      </c>
      <c r="E34" s="3">
        <v>45786</v>
      </c>
      <c r="F34" t="s">
        <v>136</v>
      </c>
    </row>
    <row r="35" spans="4:6" x14ac:dyDescent="0.25">
      <c r="D35" s="3">
        <v>45786</v>
      </c>
      <c r="E35" s="3">
        <v>45970</v>
      </c>
      <c r="F35" t="s">
        <v>136</v>
      </c>
    </row>
    <row r="36" spans="4:6" x14ac:dyDescent="0.25">
      <c r="D36" s="3">
        <v>45970</v>
      </c>
      <c r="E36" s="3">
        <v>46151</v>
      </c>
      <c r="F36" t="s">
        <v>137</v>
      </c>
    </row>
    <row r="37" spans="4:6" x14ac:dyDescent="0.25">
      <c r="D37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1FC2-F066-4240-A5D3-86173A9FBD6C}">
  <dimension ref="A1:L180"/>
  <sheetViews>
    <sheetView tabSelected="1" topLeftCell="A13" zoomScale="130" zoomScaleNormal="130" workbookViewId="0">
      <selection activeCell="I1" sqref="I1"/>
    </sheetView>
  </sheetViews>
  <sheetFormatPr baseColWidth="10" defaultRowHeight="15" x14ac:dyDescent="0.25"/>
  <cols>
    <col min="1" max="1" width="38.7109375" bestFit="1" customWidth="1"/>
    <col min="2" max="2" width="11.42578125" bestFit="1" customWidth="1"/>
    <col min="3" max="3" width="12.28515625" bestFit="1" customWidth="1"/>
    <col min="4" max="4" width="7.85546875" bestFit="1" customWidth="1"/>
    <col min="5" max="5" width="23.28515625" bestFit="1" customWidth="1"/>
    <col min="6" max="6" width="17.28515625" bestFit="1" customWidth="1"/>
    <col min="7" max="7" width="7.5703125" bestFit="1" customWidth="1"/>
    <col min="8" max="8" width="13" bestFit="1" customWidth="1"/>
    <col min="9" max="9" width="24.140625" bestFit="1" customWidth="1"/>
    <col min="10" max="10" width="13" bestFit="1" customWidth="1"/>
    <col min="11" max="11" width="13.140625" bestFit="1" customWidth="1"/>
    <col min="12" max="12" width="13" bestFit="1" customWidth="1"/>
  </cols>
  <sheetData>
    <row r="1" spans="1:12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0</v>
      </c>
      <c r="G1" t="s">
        <v>6</v>
      </c>
      <c r="H1" t="s">
        <v>1</v>
      </c>
      <c r="I1" t="s">
        <v>132</v>
      </c>
      <c r="J1" t="s">
        <v>133</v>
      </c>
      <c r="K1" t="s">
        <v>134</v>
      </c>
      <c r="L1" t="s">
        <v>135</v>
      </c>
    </row>
    <row r="2" spans="1:12" x14ac:dyDescent="0.25">
      <c r="A2" t="str" cm="1">
        <f t="array" ref="A2">_xlfn.XLOOKUP(1,(Contratos!$B$2:$B$203=H2)*(Contratos!$C$2:$C$203=F2)*(Contratos!$D$2:$D$203=G2)*(DATE(D2,MATCH(C2,{"Enero";"Febrero";"Marzo";"Abril";"Mayo";"Junio";"Julio";"Agosto";"Septiembre";"Octubre";"Noviembre";"Diciembre"},0),1)&gt;=DATE(YEAR(Contratos!$E$2:$E$203),MONTH(Contratos!$E$2:$E$203),1))*(DATE(D2,MATCH(C2,{"Enero";"Febrero";"Marzo";"Abril";"Mayo";"Junio";"Julio";"Agosto";"Septiembre";"Octubre";"Noviembre";"Diciembre"},0),1)&lt;=DATE(YEAR(Contratos!$F$2:$F$203),MONTH(Contratos!$F$2:$F$203),1)),Contratos!$A$2:$A$203,"")</f>
        <v>c40dcd0a-2212-45b3-b5d4-2aac8818bdf9</v>
      </c>
      <c r="B2" t="s">
        <v>124</v>
      </c>
      <c r="C2" s="2" t="s">
        <v>42</v>
      </c>
      <c r="D2" s="12">
        <v>2024</v>
      </c>
      <c r="E2" s="9">
        <v>45667</v>
      </c>
      <c r="F2" t="s">
        <v>2</v>
      </c>
      <c r="G2">
        <v>1</v>
      </c>
      <c r="H2" t="s">
        <v>7</v>
      </c>
      <c r="I2" s="2">
        <v>700000</v>
      </c>
      <c r="J2" s="2">
        <v>68000</v>
      </c>
      <c r="K2" s="2">
        <v>20000</v>
      </c>
      <c r="L2" s="2">
        <f>I2-SUM(J2:K2)</f>
        <v>612000</v>
      </c>
    </row>
    <row r="3" spans="1:12" x14ac:dyDescent="0.25">
      <c r="A3" t="str" cm="1">
        <f t="array" ref="A3">_xlfn.XLOOKUP(1,(Contratos!$B$2:$B$203=H3)*(Contratos!$C$2:$C$203=F3)*(Contratos!$D$2:$D$203=G3)*(DATE(D3,MATCH(C3,{"Enero";"Febrero";"Marzo";"Abril";"Mayo";"Junio";"Julio";"Agosto";"Septiembre";"Octubre";"Noviembre";"Diciembre"},0),1)&gt;=DATE(YEAR(Contratos!$E$2:$E$203),MONTH(Contratos!$E$2:$E$203),1))*(DATE(D3,MATCH(C3,{"Enero";"Febrero";"Marzo";"Abril";"Mayo";"Junio";"Julio";"Agosto";"Septiembre";"Octubre";"Noviembre";"Diciembre"},0),1)&lt;=DATE(YEAR(Contratos!$F$2:$F$203),MONTH(Contratos!$F$2:$F$203),1)),Contratos!$A$2:$A$203,"")</f>
        <v>e09f74db-f923-4e51-8bce-340da723f0cc</v>
      </c>
      <c r="B3" t="s">
        <v>124</v>
      </c>
      <c r="C3" s="2" t="s">
        <v>42</v>
      </c>
      <c r="D3" s="12">
        <v>2024</v>
      </c>
      <c r="E3" s="9">
        <v>45667</v>
      </c>
      <c r="F3" t="s">
        <v>2</v>
      </c>
      <c r="G3">
        <v>2</v>
      </c>
      <c r="H3" t="s">
        <v>8</v>
      </c>
      <c r="I3" s="2">
        <v>630000</v>
      </c>
      <c r="J3" s="2">
        <v>61000</v>
      </c>
      <c r="K3" s="2">
        <v>20000</v>
      </c>
      <c r="L3" s="2">
        <f t="shared" ref="L3:L15" si="0">I3-SUM(J3:K3)</f>
        <v>549000</v>
      </c>
    </row>
    <row r="4" spans="1:12" x14ac:dyDescent="0.25">
      <c r="A4" t="str" cm="1">
        <f t="array" ref="A4">_xlfn.XLOOKUP(1,(Contratos!$B$2:$B$203=H4)*(Contratos!$C$2:$C$203=F4)*(Contratos!$D$2:$D$203=G4)*(DATE(D4,MATCH(C4,{"Enero";"Febrero";"Marzo";"Abril";"Mayo";"Junio";"Julio";"Agosto";"Septiembre";"Octubre";"Noviembre";"Diciembre"},0),1)&gt;=DATE(YEAR(Contratos!$E$2:$E$203),MONTH(Contratos!$E$2:$E$203),1))*(DATE(D4,MATCH(C4,{"Enero";"Febrero";"Marzo";"Abril";"Mayo";"Junio";"Julio";"Agosto";"Septiembre";"Octubre";"Noviembre";"Diciembre"},0),1)&lt;=DATE(YEAR(Contratos!$F$2:$F$203),MONTH(Contratos!$F$2:$F$203),1)),Contratos!$A$2:$A$203,"")</f>
        <v>8e4d74fa-ec72-4872-a04b-81c46e2fbd96</v>
      </c>
      <c r="B4" t="s">
        <v>124</v>
      </c>
      <c r="C4" s="2" t="s">
        <v>42</v>
      </c>
      <c r="D4" s="12">
        <v>2024</v>
      </c>
      <c r="E4" s="9">
        <v>45667</v>
      </c>
      <c r="F4" t="s">
        <v>2</v>
      </c>
      <c r="G4">
        <v>3</v>
      </c>
      <c r="H4" t="s">
        <v>9</v>
      </c>
      <c r="I4" s="2">
        <v>600000</v>
      </c>
      <c r="J4" s="2">
        <v>60000</v>
      </c>
      <c r="K4" s="2">
        <v>0</v>
      </c>
      <c r="L4" s="2">
        <f t="shared" si="0"/>
        <v>540000</v>
      </c>
    </row>
    <row r="5" spans="1:12" x14ac:dyDescent="0.25">
      <c r="A5" t="str" cm="1">
        <f t="array" ref="A5">_xlfn.XLOOKUP(1,(Contratos!$B$2:$B$203=H5)*(Contratos!$C$2:$C$203=F5)*(Contratos!$D$2:$D$203=G5)*(DATE(D5,MATCH(C5,{"Enero";"Febrero";"Marzo";"Abril";"Mayo";"Junio";"Julio";"Agosto";"Septiembre";"Octubre";"Noviembre";"Diciembre"},0),1)&gt;=DATE(YEAR(Contratos!$E$2:$E$203),MONTH(Contratos!$E$2:$E$203),1))*(DATE(D5,MATCH(C5,{"Enero";"Febrero";"Marzo";"Abril";"Mayo";"Junio";"Julio";"Agosto";"Septiembre";"Octubre";"Noviembre";"Diciembre"},0),1)&lt;=DATE(YEAR(Contratos!$F$2:$F$203),MONTH(Contratos!$F$2:$F$203),1)),Contratos!$A$2:$A$203,"")</f>
        <v>9ce44e27-d7b6-4887-a696-e74e8e7b2a28</v>
      </c>
      <c r="B5" t="s">
        <v>124</v>
      </c>
      <c r="C5" s="2" t="s">
        <v>42</v>
      </c>
      <c r="D5" s="12">
        <v>2024</v>
      </c>
      <c r="E5" s="9">
        <v>45667</v>
      </c>
      <c r="F5" t="s">
        <v>3</v>
      </c>
      <c r="G5">
        <v>1</v>
      </c>
      <c r="H5" t="s">
        <v>10</v>
      </c>
      <c r="I5" s="2">
        <v>732100</v>
      </c>
      <c r="J5" s="2">
        <v>71210</v>
      </c>
      <c r="K5" s="2">
        <v>20000</v>
      </c>
      <c r="L5" s="2">
        <f t="shared" si="0"/>
        <v>640890</v>
      </c>
    </row>
    <row r="6" spans="1:12" x14ac:dyDescent="0.25">
      <c r="A6" t="str" cm="1">
        <f t="array" ref="A6">_xlfn.XLOOKUP(1,(Contratos!$B$2:$B$203=H6)*(Contratos!$C$2:$C$203=F6)*(Contratos!$D$2:$D$203=G6)*(DATE(D6,MATCH(C6,{"Enero";"Febrero";"Marzo";"Abril";"Mayo";"Junio";"Julio";"Agosto";"Septiembre";"Octubre";"Noviembre";"Diciembre"},0),1)&gt;=DATE(YEAR(Contratos!$E$2:$E$203),MONTH(Contratos!$E$2:$E$203),1))*(DATE(D6,MATCH(C6,{"Enero";"Febrero";"Marzo";"Abril";"Mayo";"Junio";"Julio";"Agosto";"Septiembre";"Octubre";"Noviembre";"Diciembre"},0),1)&lt;=DATE(YEAR(Contratos!$F$2:$F$203),MONTH(Contratos!$F$2:$F$203),1)),Contratos!$A$2:$A$203,"")</f>
        <v>9d4e93ec-8103-4ec7-94d4-480e0647a578</v>
      </c>
      <c r="B6" t="s">
        <v>124</v>
      </c>
      <c r="C6" s="2" t="s">
        <v>42</v>
      </c>
      <c r="D6" s="12">
        <v>2024</v>
      </c>
      <c r="E6" s="9">
        <v>45667</v>
      </c>
      <c r="F6" t="s">
        <v>3</v>
      </c>
      <c r="G6">
        <v>2</v>
      </c>
      <c r="H6" t="s">
        <v>11</v>
      </c>
      <c r="I6" s="2">
        <v>688000</v>
      </c>
      <c r="J6" s="2">
        <v>66800</v>
      </c>
      <c r="K6" s="2">
        <v>20000</v>
      </c>
      <c r="L6" s="2">
        <f t="shared" si="0"/>
        <v>601200</v>
      </c>
    </row>
    <row r="7" spans="1:12" x14ac:dyDescent="0.25">
      <c r="A7" t="str" cm="1">
        <f t="array" ref="A7">_xlfn.XLOOKUP(1,(Contratos!$B$2:$B$203=H7)*(Contratos!$C$2:$C$203=F7)*(Contratos!$D$2:$D$203=G7)*(DATE(D7,MATCH(C7,{"Enero";"Febrero";"Marzo";"Abril";"Mayo";"Junio";"Julio";"Agosto";"Septiembre";"Octubre";"Noviembre";"Diciembre"},0),1)&gt;=DATE(YEAR(Contratos!$E$2:$E$203),MONTH(Contratos!$E$2:$E$203),1))*(DATE(D7,MATCH(C7,{"Enero";"Febrero";"Marzo";"Abril";"Mayo";"Junio";"Julio";"Agosto";"Septiembre";"Octubre";"Noviembre";"Diciembre"},0),1)&lt;=DATE(YEAR(Contratos!$F$2:$F$203),MONTH(Contratos!$F$2:$F$203),1)),Contratos!$A$2:$A$203,"")</f>
        <v>3c91b9e4-e30d-43c4-93ec-843b4e0debfe</v>
      </c>
      <c r="B7" t="s">
        <v>124</v>
      </c>
      <c r="C7" s="2" t="s">
        <v>42</v>
      </c>
      <c r="D7" s="12">
        <v>2024</v>
      </c>
      <c r="E7" s="9">
        <v>45667</v>
      </c>
      <c r="F7" t="s">
        <v>3</v>
      </c>
      <c r="G7">
        <v>3</v>
      </c>
      <c r="H7" t="s">
        <v>12</v>
      </c>
      <c r="I7" s="2">
        <v>601000</v>
      </c>
      <c r="J7" s="2">
        <v>58000</v>
      </c>
      <c r="K7" s="2">
        <v>20000</v>
      </c>
      <c r="L7" s="2">
        <f t="shared" si="0"/>
        <v>523000</v>
      </c>
    </row>
    <row r="8" spans="1:12" x14ac:dyDescent="0.25">
      <c r="A8" t="str" cm="1">
        <f t="array" ref="A8">_xlfn.XLOOKUP(1,(Contratos!$B$2:$B$203=H8)*(Contratos!$C$2:$C$203=F8)*(Contratos!$D$2:$D$203=G8)*(DATE(D8,MATCH(C8,{"Enero";"Febrero";"Marzo";"Abril";"Mayo";"Junio";"Julio";"Agosto";"Septiembre";"Octubre";"Noviembre";"Diciembre"},0),1)&gt;=DATE(YEAR(Contratos!$E$2:$E$203),MONTH(Contratos!$E$2:$E$203),1))*(DATE(D8,MATCH(C8,{"Enero";"Febrero";"Marzo";"Abril";"Mayo";"Junio";"Julio";"Agosto";"Septiembre";"Octubre";"Noviembre";"Diciembre"},0),1)&lt;=DATE(YEAR(Contratos!$F$2:$F$203),MONTH(Contratos!$F$2:$F$203),1)),Contratos!$A$2:$A$203,"")</f>
        <v>e919ee59-138a-4725-be6c-8f7c401f3312</v>
      </c>
      <c r="B8" t="s">
        <v>124</v>
      </c>
      <c r="C8" s="2" t="s">
        <v>42</v>
      </c>
      <c r="D8" s="12">
        <v>2024</v>
      </c>
      <c r="E8" s="9">
        <v>45667</v>
      </c>
      <c r="F8" t="s">
        <v>4</v>
      </c>
      <c r="G8">
        <v>1</v>
      </c>
      <c r="H8" t="s">
        <v>13</v>
      </c>
      <c r="I8" s="2">
        <v>780000</v>
      </c>
      <c r="J8" s="2">
        <v>76000</v>
      </c>
      <c r="K8" s="2">
        <v>20000</v>
      </c>
      <c r="L8" s="2">
        <f t="shared" si="0"/>
        <v>684000</v>
      </c>
    </row>
    <row r="9" spans="1:12" x14ac:dyDescent="0.25">
      <c r="A9" t="str" cm="1">
        <f t="array" ref="A9">_xlfn.XLOOKUP(1,(Contratos!$B$2:$B$203=H9)*(Contratos!$C$2:$C$203=F9)*(Contratos!$D$2:$D$203=G9)*(DATE(D9,MATCH(C9,{"Enero";"Febrero";"Marzo";"Abril";"Mayo";"Junio";"Julio";"Agosto";"Septiembre";"Octubre";"Noviembre";"Diciembre"},0),1)&gt;=DATE(YEAR(Contratos!$E$2:$E$203),MONTH(Contratos!$E$2:$E$203),1))*(DATE(D9,MATCH(C9,{"Enero";"Febrero";"Marzo";"Abril";"Mayo";"Junio";"Julio";"Agosto";"Septiembre";"Octubre";"Noviembre";"Diciembre"},0),1)&lt;=DATE(YEAR(Contratos!$F$2:$F$203),MONTH(Contratos!$F$2:$F$203),1)),Contratos!$A$2:$A$203,"")</f>
        <v>5c552dcf-ebef-4bfe-aee2-c4a6981c0f3a</v>
      </c>
      <c r="B9" t="s">
        <v>124</v>
      </c>
      <c r="C9" s="2" t="s">
        <v>42</v>
      </c>
      <c r="D9" s="12">
        <v>2024</v>
      </c>
      <c r="E9" s="9">
        <v>45667</v>
      </c>
      <c r="F9" t="s">
        <v>4</v>
      </c>
      <c r="G9">
        <v>2</v>
      </c>
      <c r="H9" t="s">
        <v>14</v>
      </c>
      <c r="I9" s="2">
        <v>764000</v>
      </c>
      <c r="J9" s="2">
        <v>74400</v>
      </c>
      <c r="K9" s="2">
        <v>20000</v>
      </c>
      <c r="L9" s="2">
        <f t="shared" si="0"/>
        <v>669600</v>
      </c>
    </row>
    <row r="10" spans="1:12" x14ac:dyDescent="0.25">
      <c r="A10" t="str" cm="1">
        <f t="array" ref="A10">_xlfn.XLOOKUP(1,(Contratos!$B$2:$B$203=H10)*(Contratos!$C$2:$C$203=F10)*(Contratos!$D$2:$D$203=G10)*(DATE(D10,MATCH(C10,{"Enero";"Febrero";"Marzo";"Abril";"Mayo";"Junio";"Julio";"Agosto";"Septiembre";"Octubre";"Noviembre";"Diciembre"},0),1)&gt;=DATE(YEAR(Contratos!$E$2:$E$203),MONTH(Contratos!$E$2:$E$203),1))*(DATE(D10,MATCH(C10,{"Enero";"Febrero";"Marzo";"Abril";"Mayo";"Junio";"Julio";"Agosto";"Septiembre";"Octubre";"Noviembre";"Diciembre"},0),1)&lt;=DATE(YEAR(Contratos!$F$2:$F$203),MONTH(Contratos!$F$2:$F$203),1)),Contratos!$A$2:$A$203,"")</f>
        <v>ec860adc-defd-41d8-a89b-21d87b7ea128</v>
      </c>
      <c r="B10" t="s">
        <v>124</v>
      </c>
      <c r="C10" s="2" t="s">
        <v>42</v>
      </c>
      <c r="D10" s="12">
        <v>2024</v>
      </c>
      <c r="E10" s="9">
        <v>45667</v>
      </c>
      <c r="F10" t="s">
        <v>4</v>
      </c>
      <c r="G10">
        <v>3</v>
      </c>
      <c r="H10" t="s">
        <v>15</v>
      </c>
      <c r="I10" s="2">
        <v>700000</v>
      </c>
      <c r="J10" s="2">
        <v>68000</v>
      </c>
      <c r="K10" s="2">
        <v>20000</v>
      </c>
      <c r="L10" s="2">
        <f t="shared" si="0"/>
        <v>612000</v>
      </c>
    </row>
    <row r="11" spans="1:12" x14ac:dyDescent="0.25">
      <c r="A11" t="str" cm="1">
        <f t="array" ref="A11">_xlfn.XLOOKUP(1,(Contratos!$B$2:$B$203=H11)*(Contratos!$C$2:$C$203=F11)*(Contratos!$D$2:$D$203=G11)*(DATE(D11,MATCH(C11,{"Enero";"Febrero";"Marzo";"Abril";"Mayo";"Junio";"Julio";"Agosto";"Septiembre";"Octubre";"Noviembre";"Diciembre"},0),1)&gt;=DATE(YEAR(Contratos!$E$2:$E$203),MONTH(Contratos!$E$2:$E$203),1))*(DATE(D11,MATCH(C11,{"Enero";"Febrero";"Marzo";"Abril";"Mayo";"Junio";"Julio";"Agosto";"Septiembre";"Octubre";"Noviembre";"Diciembre"},0),1)&lt;=DATE(YEAR(Contratos!$F$2:$F$203),MONTH(Contratos!$F$2:$F$203),1)),Contratos!$A$2:$A$203,"")</f>
        <v>165e1685-0b5f-46a9-8720-08682265922b</v>
      </c>
      <c r="B11" t="s">
        <v>124</v>
      </c>
      <c r="C11" s="2" t="s">
        <v>42</v>
      </c>
      <c r="D11" s="12">
        <v>2024</v>
      </c>
      <c r="E11" s="9">
        <v>45667</v>
      </c>
      <c r="F11" t="s">
        <v>4</v>
      </c>
      <c r="G11">
        <v>4</v>
      </c>
      <c r="H11" t="s">
        <v>16</v>
      </c>
      <c r="I11" s="2">
        <v>620000</v>
      </c>
      <c r="J11" s="2">
        <v>60000</v>
      </c>
      <c r="K11" s="2">
        <v>20000</v>
      </c>
      <c r="L11" s="2">
        <f t="shared" si="0"/>
        <v>540000</v>
      </c>
    </row>
    <row r="12" spans="1:12" x14ac:dyDescent="0.25">
      <c r="A12" t="str" cm="1">
        <f t="array" ref="A12">_xlfn.XLOOKUP(1,(Contratos!$B$2:$B$203=H12)*(Contratos!$C$2:$C$203=F12)*(Contratos!$D$2:$D$203=G12)*(DATE(D12,MATCH(C12,{"Enero";"Febrero";"Marzo";"Abril";"Mayo";"Junio";"Julio";"Agosto";"Septiembre";"Octubre";"Noviembre";"Diciembre"},0),1)&gt;=DATE(YEAR(Contratos!$E$2:$E$203),MONTH(Contratos!$E$2:$E$203),1))*(DATE(D12,MATCH(C12,{"Enero";"Febrero";"Marzo";"Abril";"Mayo";"Junio";"Julio";"Agosto";"Septiembre";"Octubre";"Noviembre";"Diciembre"},0),1)&lt;=DATE(YEAR(Contratos!$F$2:$F$203),MONTH(Contratos!$F$2:$F$203),1)),Contratos!$A$2:$A$203,"")</f>
        <v>16fbb6a2-d237-4dd2-8a6d-7bd76aa8645c</v>
      </c>
      <c r="B12" t="s">
        <v>124</v>
      </c>
      <c r="C12" s="2" t="s">
        <v>42</v>
      </c>
      <c r="D12" s="12">
        <v>2024</v>
      </c>
      <c r="E12" s="9">
        <v>45667</v>
      </c>
      <c r="F12" t="s">
        <v>5</v>
      </c>
      <c r="G12">
        <v>1</v>
      </c>
      <c r="H12" t="s">
        <v>17</v>
      </c>
      <c r="I12" s="2">
        <v>660000</v>
      </c>
      <c r="J12" s="2">
        <v>64000</v>
      </c>
      <c r="K12" s="2">
        <v>20000</v>
      </c>
      <c r="L12" s="2">
        <f t="shared" si="0"/>
        <v>576000</v>
      </c>
    </row>
    <row r="13" spans="1:12" x14ac:dyDescent="0.25">
      <c r="A13" t="str" cm="1">
        <f t="array" ref="A13">_xlfn.XLOOKUP(1,(Contratos!$B$2:$B$203=H13)*(Contratos!$C$2:$C$203=F13)*(Contratos!$D$2:$D$203=G13)*(DATE(D13,MATCH(C13,{"Enero";"Febrero";"Marzo";"Abril";"Mayo";"Junio";"Julio";"Agosto";"Septiembre";"Octubre";"Noviembre";"Diciembre"},0),1)&gt;=DATE(YEAR(Contratos!$E$2:$E$203),MONTH(Contratos!$E$2:$E$203),1))*(DATE(D13,MATCH(C13,{"Enero";"Febrero";"Marzo";"Abril";"Mayo";"Junio";"Julio";"Agosto";"Septiembre";"Octubre";"Noviembre";"Diciembre"},0),1)&lt;=DATE(YEAR(Contratos!$F$2:$F$203),MONTH(Contratos!$F$2:$F$203),1)),Contratos!$A$2:$A$203,"")</f>
        <v>09012b19-863a-4906-b34b-a89dcba8626e</v>
      </c>
      <c r="B13" t="s">
        <v>124</v>
      </c>
      <c r="C13" s="2" t="s">
        <v>42</v>
      </c>
      <c r="D13" s="12">
        <v>2024</v>
      </c>
      <c r="E13" s="9">
        <v>45667</v>
      </c>
      <c r="F13" t="s">
        <v>5</v>
      </c>
      <c r="G13">
        <v>2</v>
      </c>
      <c r="H13" t="s">
        <v>18</v>
      </c>
      <c r="I13" s="2">
        <v>670000</v>
      </c>
      <c r="J13" s="2">
        <v>65000</v>
      </c>
      <c r="K13" s="2">
        <v>20000</v>
      </c>
      <c r="L13" s="2">
        <f t="shared" si="0"/>
        <v>585000</v>
      </c>
    </row>
    <row r="14" spans="1:12" x14ac:dyDescent="0.25">
      <c r="A14" t="str" cm="1">
        <f t="array" ref="A14">_xlfn.XLOOKUP(1,(Contratos!$B$2:$B$203=H14)*(Contratos!$C$2:$C$203=F14)*(Contratos!$D$2:$D$203=G14)*(DATE(D14,MATCH(C14,{"Enero";"Febrero";"Marzo";"Abril";"Mayo";"Junio";"Julio";"Agosto";"Septiembre";"Octubre";"Noviembre";"Diciembre"},0),1)&gt;=DATE(YEAR(Contratos!$E$2:$E$203),MONTH(Contratos!$E$2:$E$203),1))*(DATE(D14,MATCH(C14,{"Enero";"Febrero";"Marzo";"Abril";"Mayo";"Junio";"Julio";"Agosto";"Septiembre";"Octubre";"Noviembre";"Diciembre"},0),1)&lt;=DATE(YEAR(Contratos!$F$2:$F$203),MONTH(Contratos!$F$2:$F$203),1)),Contratos!$A$2:$A$203,"")</f>
        <v>4768bece-ab83-433d-8e6e-3a9988dd03b1</v>
      </c>
      <c r="B14" t="s">
        <v>124</v>
      </c>
      <c r="C14" s="2" t="s">
        <v>42</v>
      </c>
      <c r="D14" s="12">
        <v>2024</v>
      </c>
      <c r="E14" s="9">
        <v>45667</v>
      </c>
      <c r="F14" t="s">
        <v>5</v>
      </c>
      <c r="G14">
        <v>3</v>
      </c>
      <c r="H14" t="s">
        <v>19</v>
      </c>
      <c r="I14" s="2">
        <v>650000</v>
      </c>
      <c r="J14" s="2">
        <v>63000</v>
      </c>
      <c r="K14" s="2">
        <v>20000</v>
      </c>
      <c r="L14" s="2">
        <f t="shared" si="0"/>
        <v>567000</v>
      </c>
    </row>
    <row r="15" spans="1:12" x14ac:dyDescent="0.25">
      <c r="A15" t="str" cm="1">
        <f t="array" ref="A15">_xlfn.XLOOKUP(1,(Contratos!$B$2:$B$203=H15)*(Contratos!$C$2:$C$203=F15)*(Contratos!$D$2:$D$203=G15)*(DATE(D15,MATCH(C15,{"Enero";"Febrero";"Marzo";"Abril";"Mayo";"Junio";"Julio";"Agosto";"Septiembre";"Octubre";"Noviembre";"Diciembre"},0),1)&gt;=DATE(YEAR(Contratos!$E$2:$E$203),MONTH(Contratos!$E$2:$E$203),1))*(DATE(D15,MATCH(C15,{"Enero";"Febrero";"Marzo";"Abril";"Mayo";"Junio";"Julio";"Agosto";"Septiembre";"Octubre";"Noviembre";"Diciembre"},0),1)&lt;=DATE(YEAR(Contratos!$F$2:$F$203),MONTH(Contratos!$F$2:$F$203),1)),Contratos!$A$2:$A$203,"")</f>
        <v>e6519542-cc79-4b71-bb1a-dedae13cc106</v>
      </c>
      <c r="B15" t="s">
        <v>124</v>
      </c>
      <c r="C15" s="2" t="s">
        <v>42</v>
      </c>
      <c r="D15" s="12">
        <v>2024</v>
      </c>
      <c r="E15" s="9">
        <v>45667</v>
      </c>
      <c r="F15" t="s">
        <v>5</v>
      </c>
      <c r="G15">
        <v>4</v>
      </c>
      <c r="H15" t="s">
        <v>20</v>
      </c>
      <c r="I15" s="2">
        <v>600000</v>
      </c>
      <c r="J15" s="2">
        <v>58000</v>
      </c>
      <c r="K15" s="2">
        <v>20000</v>
      </c>
      <c r="L15" s="2">
        <f t="shared" si="0"/>
        <v>522000</v>
      </c>
    </row>
    <row r="16" spans="1:12" x14ac:dyDescent="0.25">
      <c r="A16" t="str" cm="1">
        <f t="array" ref="A16">_xlfn.XLOOKUP(1,(Contratos!$B$2:$B$203=H16)*(Contratos!$C$2:$C$203=F16)*(Contratos!$D$2:$D$203=G16)*(DATE(D16,MATCH(C16,{"Enero";"Febrero";"Marzo";"Abril";"Mayo";"Junio";"Julio";"Agosto";"Septiembre";"Octubre";"Noviembre";"Diciembre"},0),1)&gt;=DATE(YEAR(Contratos!$E$2:$E$203),MONTH(Contratos!$E$2:$E$203),1))*(DATE(D16,MATCH(C16,{"Enero";"Febrero";"Marzo";"Abril";"Mayo";"Junio";"Julio";"Agosto";"Septiembre";"Octubre";"Noviembre";"Diciembre"},0),1)&lt;=DATE(YEAR(Contratos!$F$2:$F$203),MONTH(Contratos!$F$2:$F$203),1)),Contratos!$A$2:$A$203,"")</f>
        <v>c40dcd0a-2212-45b3-b5d4-2aac8818bdf9</v>
      </c>
      <c r="B16" t="s">
        <v>124</v>
      </c>
      <c r="C16" s="2" t="s">
        <v>43</v>
      </c>
      <c r="D16" s="12">
        <v>2025</v>
      </c>
      <c r="E16" s="9">
        <v>45698</v>
      </c>
      <c r="F16" t="s">
        <v>2</v>
      </c>
      <c r="G16">
        <v>1</v>
      </c>
      <c r="H16" t="s">
        <v>7</v>
      </c>
      <c r="I16" s="2">
        <v>700000</v>
      </c>
      <c r="J16" s="2">
        <v>68000</v>
      </c>
      <c r="K16" s="2">
        <v>20000</v>
      </c>
      <c r="L16" s="2">
        <f>I16-SUM(J16:K16)</f>
        <v>612000</v>
      </c>
    </row>
    <row r="17" spans="1:12" x14ac:dyDescent="0.25">
      <c r="A17" t="str" cm="1">
        <f t="array" ref="A17">_xlfn.XLOOKUP(1,(Contratos!$B$2:$B$203=H17)*(Contratos!$C$2:$C$203=F17)*(Contratos!$D$2:$D$203=G17)*(DATE(D17,MATCH(C17,{"Enero";"Febrero";"Marzo";"Abril";"Mayo";"Junio";"Julio";"Agosto";"Septiembre";"Octubre";"Noviembre";"Diciembre"},0),1)&gt;=DATE(YEAR(Contratos!$E$2:$E$203),MONTH(Contratos!$E$2:$E$203),1))*(DATE(D17,MATCH(C17,{"Enero";"Febrero";"Marzo";"Abril";"Mayo";"Junio";"Julio";"Agosto";"Septiembre";"Octubre";"Noviembre";"Diciembre"},0),1)&lt;=DATE(YEAR(Contratos!$F$2:$F$203),MONTH(Contratos!$F$2:$F$203),1)),Contratos!$A$2:$A$203,"")</f>
        <v>e09f74db-f923-4e51-8bce-340da723f0cc</v>
      </c>
      <c r="B17" t="s">
        <v>124</v>
      </c>
      <c r="C17" s="2" t="s">
        <v>43</v>
      </c>
      <c r="D17" s="12">
        <v>2025</v>
      </c>
      <c r="E17" s="9">
        <v>45698</v>
      </c>
      <c r="F17" t="s">
        <v>2</v>
      </c>
      <c r="G17">
        <v>2</v>
      </c>
      <c r="H17" t="s">
        <v>8</v>
      </c>
      <c r="I17" s="2">
        <v>630000</v>
      </c>
      <c r="J17" s="2">
        <v>61000</v>
      </c>
      <c r="K17" s="2">
        <v>20000</v>
      </c>
      <c r="L17" s="2">
        <f t="shared" ref="L17:L29" si="1">I17-SUM(J17:K17)</f>
        <v>549000</v>
      </c>
    </row>
    <row r="18" spans="1:12" x14ac:dyDescent="0.25">
      <c r="A18" t="str" cm="1">
        <f t="array" ref="A18">_xlfn.XLOOKUP(1,(Contratos!$B$2:$B$203=H18)*(Contratos!$C$2:$C$203=F18)*(Contratos!$D$2:$D$203=G18)*(DATE(D18,MATCH(C18,{"Enero";"Febrero";"Marzo";"Abril";"Mayo";"Junio";"Julio";"Agosto";"Septiembre";"Octubre";"Noviembre";"Diciembre"},0),1)&gt;=DATE(YEAR(Contratos!$E$2:$E$203),MONTH(Contratos!$E$2:$E$203),1))*(DATE(D18,MATCH(C18,{"Enero";"Febrero";"Marzo";"Abril";"Mayo";"Junio";"Julio";"Agosto";"Septiembre";"Octubre";"Noviembre";"Diciembre"},0),1)&lt;=DATE(YEAR(Contratos!$F$2:$F$203),MONTH(Contratos!$F$2:$F$203),1)),Contratos!$A$2:$A$203,"")</f>
        <v>8e4d74fa-ec72-4872-a04b-81c46e2fbd96</v>
      </c>
      <c r="B18" t="s">
        <v>124</v>
      </c>
      <c r="C18" s="2" t="s">
        <v>43</v>
      </c>
      <c r="D18" s="12">
        <v>2025</v>
      </c>
      <c r="E18" s="9">
        <v>45698</v>
      </c>
      <c r="F18" t="s">
        <v>2</v>
      </c>
      <c r="G18">
        <v>3</v>
      </c>
      <c r="H18" t="s">
        <v>9</v>
      </c>
      <c r="I18" s="2">
        <v>600000</v>
      </c>
      <c r="J18" s="2">
        <v>60000</v>
      </c>
      <c r="K18" s="2">
        <v>0</v>
      </c>
      <c r="L18" s="2">
        <f t="shared" si="1"/>
        <v>540000</v>
      </c>
    </row>
    <row r="19" spans="1:12" x14ac:dyDescent="0.25">
      <c r="A19" t="str" cm="1">
        <f t="array" ref="A19">_xlfn.XLOOKUP(1,(Contratos!$B$2:$B$203=H19)*(Contratos!$C$2:$C$203=F19)*(Contratos!$D$2:$D$203=G19)*(DATE(D19,MATCH(C19,{"Enero";"Febrero";"Marzo";"Abril";"Mayo";"Junio";"Julio";"Agosto";"Septiembre";"Octubre";"Noviembre";"Diciembre"},0),1)&gt;=DATE(YEAR(Contratos!$E$2:$E$203),MONTH(Contratos!$E$2:$E$203),1))*(DATE(D19,MATCH(C19,{"Enero";"Febrero";"Marzo";"Abril";"Mayo";"Junio";"Julio";"Agosto";"Septiembre";"Octubre";"Noviembre";"Diciembre"},0),1)&lt;=DATE(YEAR(Contratos!$F$2:$F$203),MONTH(Contratos!$F$2:$F$203),1)),Contratos!$A$2:$A$203,"")</f>
        <v>1c9d267f-bb28-462a-9b6c-10633cc45e36</v>
      </c>
      <c r="B19" t="s">
        <v>124</v>
      </c>
      <c r="C19" s="2" t="s">
        <v>43</v>
      </c>
      <c r="D19" s="12">
        <v>2025</v>
      </c>
      <c r="E19" s="9">
        <v>45698</v>
      </c>
      <c r="F19" t="s">
        <v>3</v>
      </c>
      <c r="G19">
        <v>1</v>
      </c>
      <c r="H19" t="s">
        <v>10</v>
      </c>
      <c r="I19" s="2">
        <v>732100</v>
      </c>
      <c r="J19" s="2">
        <v>71210</v>
      </c>
      <c r="K19" s="2">
        <v>20000</v>
      </c>
      <c r="L19" s="2">
        <f t="shared" si="1"/>
        <v>640890</v>
      </c>
    </row>
    <row r="20" spans="1:12" x14ac:dyDescent="0.25">
      <c r="A20" t="str" cm="1">
        <f t="array" ref="A20">_xlfn.XLOOKUP(1,(Contratos!$B$2:$B$203=H20)*(Contratos!$C$2:$C$203=F20)*(Contratos!$D$2:$D$203=G20)*(DATE(D20,MATCH(C20,{"Enero";"Febrero";"Marzo";"Abril";"Mayo";"Junio";"Julio";"Agosto";"Septiembre";"Octubre";"Noviembre";"Diciembre"},0),1)&gt;=DATE(YEAR(Contratos!$E$2:$E$203),MONTH(Contratos!$E$2:$E$203),1))*(DATE(D20,MATCH(C20,{"Enero";"Febrero";"Marzo";"Abril";"Mayo";"Junio";"Julio";"Agosto";"Septiembre";"Octubre";"Noviembre";"Diciembre"},0),1)&lt;=DATE(YEAR(Contratos!$F$2:$F$203),MONTH(Contratos!$F$2:$F$203),1)),Contratos!$A$2:$A$203,"")</f>
        <v>9d4e93ec-8103-4ec7-94d4-480e0647a578</v>
      </c>
      <c r="B20" t="s">
        <v>124</v>
      </c>
      <c r="C20" s="2" t="s">
        <v>43</v>
      </c>
      <c r="D20" s="12">
        <v>2025</v>
      </c>
      <c r="E20" s="9">
        <v>45698</v>
      </c>
      <c r="F20" t="s">
        <v>3</v>
      </c>
      <c r="G20">
        <v>2</v>
      </c>
      <c r="H20" t="s">
        <v>11</v>
      </c>
      <c r="I20" s="2">
        <v>688000</v>
      </c>
      <c r="J20" s="2">
        <v>66800</v>
      </c>
      <c r="K20" s="2">
        <v>20000</v>
      </c>
      <c r="L20" s="2">
        <f t="shared" si="1"/>
        <v>601200</v>
      </c>
    </row>
    <row r="21" spans="1:12" x14ac:dyDescent="0.25">
      <c r="A21" t="str" cm="1">
        <f t="array" ref="A21">_xlfn.XLOOKUP(1,(Contratos!$B$2:$B$203=H21)*(Contratos!$C$2:$C$203=F21)*(Contratos!$D$2:$D$203=G21)*(DATE(D21,MATCH(C21,{"Enero";"Febrero";"Marzo";"Abril";"Mayo";"Junio";"Julio";"Agosto";"Septiembre";"Octubre";"Noviembre";"Diciembre"},0),1)&gt;=DATE(YEAR(Contratos!$E$2:$E$203),MONTH(Contratos!$E$2:$E$203),1))*(DATE(D21,MATCH(C21,{"Enero";"Febrero";"Marzo";"Abril";"Mayo";"Junio";"Julio";"Agosto";"Septiembre";"Octubre";"Noviembre";"Diciembre"},0),1)&lt;=DATE(YEAR(Contratos!$F$2:$F$203),MONTH(Contratos!$F$2:$F$203),1)),Contratos!$A$2:$A$203,"")</f>
        <v>3c91b9e4-e30d-43c4-93ec-843b4e0debfe</v>
      </c>
      <c r="B21" t="s">
        <v>124</v>
      </c>
      <c r="C21" s="2" t="s">
        <v>43</v>
      </c>
      <c r="D21" s="12">
        <v>2025</v>
      </c>
      <c r="E21" s="9">
        <v>45698</v>
      </c>
      <c r="F21" t="s">
        <v>3</v>
      </c>
      <c r="G21">
        <v>3</v>
      </c>
      <c r="H21" t="s">
        <v>12</v>
      </c>
      <c r="I21" s="2">
        <v>601000</v>
      </c>
      <c r="J21" s="2">
        <v>58000</v>
      </c>
      <c r="K21" s="2">
        <v>20000</v>
      </c>
      <c r="L21" s="2">
        <f t="shared" si="1"/>
        <v>523000</v>
      </c>
    </row>
    <row r="22" spans="1:12" x14ac:dyDescent="0.25">
      <c r="A22" t="str" cm="1">
        <f t="array" ref="A22">_xlfn.XLOOKUP(1,(Contratos!$B$2:$B$203=H22)*(Contratos!$C$2:$C$203=F22)*(Contratos!$D$2:$D$203=G22)*(DATE(D22,MATCH(C22,{"Enero";"Febrero";"Marzo";"Abril";"Mayo";"Junio";"Julio";"Agosto";"Septiembre";"Octubre";"Noviembre";"Diciembre"},0),1)&gt;=DATE(YEAR(Contratos!$E$2:$E$203),MONTH(Contratos!$E$2:$E$203),1))*(DATE(D22,MATCH(C22,{"Enero";"Febrero";"Marzo";"Abril";"Mayo";"Junio";"Julio";"Agosto";"Septiembre";"Octubre";"Noviembre";"Diciembre"},0),1)&lt;=DATE(YEAR(Contratos!$F$2:$F$203),MONTH(Contratos!$F$2:$F$203),1)),Contratos!$A$2:$A$203,"")</f>
        <v>e919ee59-138a-4725-be6c-8f7c401f3312</v>
      </c>
      <c r="B22" t="s">
        <v>124</v>
      </c>
      <c r="C22" s="2" t="s">
        <v>43</v>
      </c>
      <c r="D22" s="12">
        <v>2025</v>
      </c>
      <c r="E22" s="9">
        <v>45698</v>
      </c>
      <c r="F22" t="s">
        <v>4</v>
      </c>
      <c r="G22">
        <v>1</v>
      </c>
      <c r="H22" t="s">
        <v>13</v>
      </c>
      <c r="I22" s="2">
        <v>780000</v>
      </c>
      <c r="J22" s="2">
        <v>76000</v>
      </c>
      <c r="K22" s="2">
        <v>20000</v>
      </c>
      <c r="L22" s="2">
        <f t="shared" si="1"/>
        <v>684000</v>
      </c>
    </row>
    <row r="23" spans="1:12" x14ac:dyDescent="0.25">
      <c r="A23" t="str" cm="1">
        <f t="array" ref="A23">_xlfn.XLOOKUP(1,(Contratos!$B$2:$B$203=H23)*(Contratos!$C$2:$C$203=F23)*(Contratos!$D$2:$D$203=G23)*(DATE(D23,MATCH(C23,{"Enero";"Febrero";"Marzo";"Abril";"Mayo";"Junio";"Julio";"Agosto";"Septiembre";"Octubre";"Noviembre";"Diciembre"},0),1)&gt;=DATE(YEAR(Contratos!$E$2:$E$203),MONTH(Contratos!$E$2:$E$203),1))*(DATE(D23,MATCH(C23,{"Enero";"Febrero";"Marzo";"Abril";"Mayo";"Junio";"Julio";"Agosto";"Septiembre";"Octubre";"Noviembre";"Diciembre"},0),1)&lt;=DATE(YEAR(Contratos!$F$2:$F$203),MONTH(Contratos!$F$2:$F$203),1)),Contratos!$A$2:$A$203,"")</f>
        <v>5c552dcf-ebef-4bfe-aee2-c4a6981c0f3a</v>
      </c>
      <c r="B23" t="s">
        <v>124</v>
      </c>
      <c r="C23" s="2" t="s">
        <v>43</v>
      </c>
      <c r="D23" s="12">
        <v>2025</v>
      </c>
      <c r="E23" s="9">
        <v>45698</v>
      </c>
      <c r="F23" t="s">
        <v>4</v>
      </c>
      <c r="G23">
        <v>2</v>
      </c>
      <c r="H23" t="s">
        <v>14</v>
      </c>
      <c r="I23" s="2">
        <v>764000</v>
      </c>
      <c r="J23" s="2">
        <v>74400</v>
      </c>
      <c r="K23" s="2">
        <v>20000</v>
      </c>
      <c r="L23" s="2">
        <f t="shared" si="1"/>
        <v>669600</v>
      </c>
    </row>
    <row r="24" spans="1:12" x14ac:dyDescent="0.25">
      <c r="A24" t="str" cm="1">
        <f t="array" ref="A24">_xlfn.XLOOKUP(1,(Contratos!$B$2:$B$203=H24)*(Contratos!$C$2:$C$203=F24)*(Contratos!$D$2:$D$203=G24)*(DATE(D24,MATCH(C24,{"Enero";"Febrero";"Marzo";"Abril";"Mayo";"Junio";"Julio";"Agosto";"Septiembre";"Octubre";"Noviembre";"Diciembre"},0),1)&gt;=DATE(YEAR(Contratos!$E$2:$E$203),MONTH(Contratos!$E$2:$E$203),1))*(DATE(D24,MATCH(C24,{"Enero";"Febrero";"Marzo";"Abril";"Mayo";"Junio";"Julio";"Agosto";"Septiembre";"Octubre";"Noviembre";"Diciembre"},0),1)&lt;=DATE(YEAR(Contratos!$F$2:$F$203),MONTH(Contratos!$F$2:$F$203),1)),Contratos!$A$2:$A$203,"")</f>
        <v>ec860adc-defd-41d8-a89b-21d87b7ea128</v>
      </c>
      <c r="B24" t="s">
        <v>124</v>
      </c>
      <c r="C24" s="2" t="s">
        <v>43</v>
      </c>
      <c r="D24" s="12">
        <v>2025</v>
      </c>
      <c r="E24" s="9">
        <v>45698</v>
      </c>
      <c r="F24" t="s">
        <v>4</v>
      </c>
      <c r="G24">
        <v>3</v>
      </c>
      <c r="H24" t="s">
        <v>15</v>
      </c>
      <c r="I24" s="2">
        <v>700000</v>
      </c>
      <c r="J24" s="2">
        <v>68000</v>
      </c>
      <c r="K24" s="2">
        <v>20000</v>
      </c>
      <c r="L24" s="2">
        <f t="shared" si="1"/>
        <v>612000</v>
      </c>
    </row>
    <row r="25" spans="1:12" x14ac:dyDescent="0.25">
      <c r="A25" t="str" cm="1">
        <f t="array" ref="A25">_xlfn.XLOOKUP(1,(Contratos!$B$2:$B$203=H25)*(Contratos!$C$2:$C$203=F25)*(Contratos!$D$2:$D$203=G25)*(DATE(D25,MATCH(C25,{"Enero";"Febrero";"Marzo";"Abril";"Mayo";"Junio";"Julio";"Agosto";"Septiembre";"Octubre";"Noviembre";"Diciembre"},0),1)&gt;=DATE(YEAR(Contratos!$E$2:$E$203),MONTH(Contratos!$E$2:$E$203),1))*(DATE(D25,MATCH(C25,{"Enero";"Febrero";"Marzo";"Abril";"Mayo";"Junio";"Julio";"Agosto";"Septiembre";"Octubre";"Noviembre";"Diciembre"},0),1)&lt;=DATE(YEAR(Contratos!$F$2:$F$203),MONTH(Contratos!$F$2:$F$203),1)),Contratos!$A$2:$A$203,"")</f>
        <v>f2b5f4e7-1f87-4e12-8e0e-4963e89c092a</v>
      </c>
      <c r="B25" t="s">
        <v>124</v>
      </c>
      <c r="C25" s="2" t="s">
        <v>43</v>
      </c>
      <c r="D25" s="12">
        <v>2025</v>
      </c>
      <c r="E25" s="9">
        <v>45698</v>
      </c>
      <c r="F25" t="s">
        <v>4</v>
      </c>
      <c r="G25">
        <v>4</v>
      </c>
      <c r="H25" t="s">
        <v>16</v>
      </c>
      <c r="I25" s="2">
        <v>620000</v>
      </c>
      <c r="J25" s="2">
        <v>60000</v>
      </c>
      <c r="K25" s="2">
        <v>20000</v>
      </c>
      <c r="L25" s="2">
        <f t="shared" si="1"/>
        <v>540000</v>
      </c>
    </row>
    <row r="26" spans="1:12" x14ac:dyDescent="0.25">
      <c r="A26" t="str" cm="1">
        <f t="array" ref="A26">_xlfn.XLOOKUP(1,(Contratos!$B$2:$B$203=H26)*(Contratos!$C$2:$C$203=F26)*(Contratos!$D$2:$D$203=G26)*(DATE(D26,MATCH(C26,{"Enero";"Febrero";"Marzo";"Abril";"Mayo";"Junio";"Julio";"Agosto";"Septiembre";"Octubre";"Noviembre";"Diciembre"},0),1)&gt;=DATE(YEAR(Contratos!$E$2:$E$203),MONTH(Contratos!$E$2:$E$203),1))*(DATE(D26,MATCH(C26,{"Enero";"Febrero";"Marzo";"Abril";"Mayo";"Junio";"Julio";"Agosto";"Septiembre";"Octubre";"Noviembre";"Diciembre"},0),1)&lt;=DATE(YEAR(Contratos!$F$2:$F$203),MONTH(Contratos!$F$2:$F$203),1)),Contratos!$A$2:$A$203,"")</f>
        <v>16fbb6a2-d237-4dd2-8a6d-7bd76aa8645c</v>
      </c>
      <c r="B26" t="s">
        <v>124</v>
      </c>
      <c r="C26" s="2" t="s">
        <v>43</v>
      </c>
      <c r="D26" s="12">
        <v>2025</v>
      </c>
      <c r="E26" s="9">
        <v>45698</v>
      </c>
      <c r="F26" t="s">
        <v>5</v>
      </c>
      <c r="G26">
        <v>1</v>
      </c>
      <c r="H26" t="s">
        <v>17</v>
      </c>
      <c r="I26" s="2">
        <v>660000</v>
      </c>
      <c r="J26" s="2">
        <v>64000</v>
      </c>
      <c r="K26" s="2">
        <v>20000</v>
      </c>
      <c r="L26" s="2">
        <f t="shared" si="1"/>
        <v>576000</v>
      </c>
    </row>
    <row r="27" spans="1:12" x14ac:dyDescent="0.25">
      <c r="A27" t="str" cm="1">
        <f t="array" ref="A27">_xlfn.XLOOKUP(1,(Contratos!$B$2:$B$203=H27)*(Contratos!$C$2:$C$203=F27)*(Contratos!$D$2:$D$203=G27)*(DATE(D27,MATCH(C27,{"Enero";"Febrero";"Marzo";"Abril";"Mayo";"Junio";"Julio";"Agosto";"Septiembre";"Octubre";"Noviembre";"Diciembre"},0),1)&gt;=DATE(YEAR(Contratos!$E$2:$E$203),MONTH(Contratos!$E$2:$E$203),1))*(DATE(D27,MATCH(C27,{"Enero";"Febrero";"Marzo";"Abril";"Mayo";"Junio";"Julio";"Agosto";"Septiembre";"Octubre";"Noviembre";"Diciembre"},0),1)&lt;=DATE(YEAR(Contratos!$F$2:$F$203),MONTH(Contratos!$F$2:$F$203),1)),Contratos!$A$2:$A$203,"")</f>
        <v>09012b19-863a-4906-b34b-a89dcba8626e</v>
      </c>
      <c r="B27" t="s">
        <v>124</v>
      </c>
      <c r="C27" s="2" t="s">
        <v>43</v>
      </c>
      <c r="D27" s="12">
        <v>2025</v>
      </c>
      <c r="E27" s="9">
        <v>45698</v>
      </c>
      <c r="F27" t="s">
        <v>5</v>
      </c>
      <c r="G27">
        <v>2</v>
      </c>
      <c r="H27" t="s">
        <v>18</v>
      </c>
      <c r="I27" s="2">
        <v>670000</v>
      </c>
      <c r="J27" s="2">
        <v>65000</v>
      </c>
      <c r="K27" s="2">
        <v>20000</v>
      </c>
      <c r="L27" s="2">
        <f t="shared" si="1"/>
        <v>585000</v>
      </c>
    </row>
    <row r="28" spans="1:12" x14ac:dyDescent="0.25">
      <c r="A28" t="str" cm="1">
        <f t="array" ref="A28">_xlfn.XLOOKUP(1,(Contratos!$B$2:$B$203=H28)*(Contratos!$C$2:$C$203=F28)*(Contratos!$D$2:$D$203=G28)*(DATE(D28,MATCH(C28,{"Enero";"Febrero";"Marzo";"Abril";"Mayo";"Junio";"Julio";"Agosto";"Septiembre";"Octubre";"Noviembre";"Diciembre"},0),1)&gt;=DATE(YEAR(Contratos!$E$2:$E$203),MONTH(Contratos!$E$2:$E$203),1))*(DATE(D28,MATCH(C28,{"Enero";"Febrero";"Marzo";"Abril";"Mayo";"Junio";"Julio";"Agosto";"Septiembre";"Octubre";"Noviembre";"Diciembre"},0),1)&lt;=DATE(YEAR(Contratos!$F$2:$F$203),MONTH(Contratos!$F$2:$F$203),1)),Contratos!$A$2:$A$203,"")</f>
        <v>4768bece-ab83-433d-8e6e-3a9988dd03b1</v>
      </c>
      <c r="B28" t="s">
        <v>124</v>
      </c>
      <c r="C28" s="2" t="s">
        <v>43</v>
      </c>
      <c r="D28" s="12">
        <v>2025</v>
      </c>
      <c r="E28" s="9">
        <v>45698</v>
      </c>
      <c r="F28" t="s">
        <v>5</v>
      </c>
      <c r="G28">
        <v>3</v>
      </c>
      <c r="H28" t="s">
        <v>19</v>
      </c>
      <c r="I28" s="2">
        <v>650000</v>
      </c>
      <c r="J28" s="2">
        <v>63000</v>
      </c>
      <c r="K28" s="2">
        <v>20000</v>
      </c>
      <c r="L28" s="2">
        <f t="shared" si="1"/>
        <v>567000</v>
      </c>
    </row>
    <row r="29" spans="1:12" x14ac:dyDescent="0.25">
      <c r="A29" t="str" cm="1">
        <f t="array" ref="A29">_xlfn.XLOOKUP(1,(Contratos!$B$2:$B$203=H29)*(Contratos!$C$2:$C$203=F29)*(Contratos!$D$2:$D$203=G29)*(DATE(D29,MATCH(C29,{"Enero";"Febrero";"Marzo";"Abril";"Mayo";"Junio";"Julio";"Agosto";"Septiembre";"Octubre";"Noviembre";"Diciembre"},0),1)&gt;=DATE(YEAR(Contratos!$E$2:$E$203),MONTH(Contratos!$E$2:$E$203),1))*(DATE(D29,MATCH(C29,{"Enero";"Febrero";"Marzo";"Abril";"Mayo";"Junio";"Julio";"Agosto";"Septiembre";"Octubre";"Noviembre";"Diciembre"},0),1)&lt;=DATE(YEAR(Contratos!$F$2:$F$203),MONTH(Contratos!$F$2:$F$203),1)),Contratos!$A$2:$A$203,"")</f>
        <v>e6519542-cc79-4b71-bb1a-dedae13cc106</v>
      </c>
      <c r="B29" t="s">
        <v>124</v>
      </c>
      <c r="C29" s="2" t="s">
        <v>43</v>
      </c>
      <c r="D29" s="12">
        <v>2025</v>
      </c>
      <c r="E29" s="9">
        <v>45698</v>
      </c>
      <c r="F29" t="s">
        <v>5</v>
      </c>
      <c r="G29">
        <v>4</v>
      </c>
      <c r="H29" t="s">
        <v>20</v>
      </c>
      <c r="I29" s="2">
        <v>600000</v>
      </c>
      <c r="J29" s="2">
        <v>58000</v>
      </c>
      <c r="K29" s="2">
        <v>20000</v>
      </c>
      <c r="L29" s="2">
        <f t="shared" si="1"/>
        <v>522000</v>
      </c>
    </row>
    <row r="30" spans="1:12" x14ac:dyDescent="0.25">
      <c r="A30" t="str" cm="1">
        <f t="array" ref="A30">_xlfn.XLOOKUP(1,(Contratos!$B$2:$B$203=H30)*(Contratos!$C$2:$C$203=F30)*(Contratos!$D$2:$D$203=G30)*(DATE(D30,MATCH(C30,{"Enero";"Febrero";"Marzo";"Abril";"Mayo";"Junio";"Julio";"Agosto";"Septiembre";"Octubre";"Noviembre";"Diciembre"},0),1)&gt;=DATE(YEAR(Contratos!$E$2:$E$203),MONTH(Contratos!$E$2:$E$203),1))*(DATE(D30,MATCH(C30,{"Enero";"Febrero";"Marzo";"Abril";"Mayo";"Junio";"Julio";"Agosto";"Septiembre";"Octubre";"Noviembre";"Diciembre"},0),1)&lt;=DATE(YEAR(Contratos!$F$2:$F$203),MONTH(Contratos!$F$2:$F$203),1)),Contratos!$A$2:$A$203,"")</f>
        <v>c40dcd0a-2212-45b3-b5d4-2aac8818bdf9</v>
      </c>
      <c r="B30" t="s">
        <v>124</v>
      </c>
      <c r="C30" s="2" t="s">
        <v>44</v>
      </c>
      <c r="D30" s="12">
        <v>2025</v>
      </c>
      <c r="E30" s="9">
        <v>45730</v>
      </c>
      <c r="F30" t="s">
        <v>2</v>
      </c>
      <c r="G30">
        <v>1</v>
      </c>
      <c r="H30" t="s">
        <v>7</v>
      </c>
      <c r="I30" s="11">
        <v>700000</v>
      </c>
      <c r="J30" s="2">
        <v>68000</v>
      </c>
      <c r="K30" s="2">
        <v>20000</v>
      </c>
      <c r="L30" s="2">
        <f>I30-SUM(J30:K30)</f>
        <v>612000</v>
      </c>
    </row>
    <row r="31" spans="1:12" x14ac:dyDescent="0.25">
      <c r="A31" t="str" cm="1">
        <f t="array" ref="A31">_xlfn.XLOOKUP(1,(Contratos!$B$2:$B$203=H31)*(Contratos!$C$2:$C$203=F31)*(Contratos!$D$2:$D$203=G31)*(DATE(D31,MATCH(C31,{"Enero";"Febrero";"Marzo";"Abril";"Mayo";"Junio";"Julio";"Agosto";"Septiembre";"Octubre";"Noviembre";"Diciembre"},0),1)&gt;=DATE(YEAR(Contratos!$E$2:$E$203),MONTH(Contratos!$E$2:$E$203),1))*(DATE(D31,MATCH(C31,{"Enero";"Febrero";"Marzo";"Abril";"Mayo";"Junio";"Julio";"Agosto";"Septiembre";"Octubre";"Noviembre";"Diciembre"},0),1)&lt;=DATE(YEAR(Contratos!$F$2:$F$203),MONTH(Contratos!$F$2:$F$203),1)),Contratos!$A$2:$A$203,"")</f>
        <v>c40dcd0a-2212-45b3-b5d4-2aac8818bdf9</v>
      </c>
      <c r="B31" t="s">
        <v>125</v>
      </c>
      <c r="C31" s="2" t="s">
        <v>44</v>
      </c>
      <c r="D31" s="12">
        <v>2025</v>
      </c>
      <c r="E31" s="9">
        <v>45730</v>
      </c>
      <c r="F31" t="s">
        <v>2</v>
      </c>
      <c r="G31">
        <v>1</v>
      </c>
      <c r="H31" t="s">
        <v>7</v>
      </c>
      <c r="I31" s="8">
        <v>233000</v>
      </c>
      <c r="J31" s="2">
        <v>0</v>
      </c>
      <c r="K31" s="2">
        <v>0</v>
      </c>
      <c r="L31" s="2">
        <f>I31-SUM(J31:K31)</f>
        <v>233000</v>
      </c>
    </row>
    <row r="32" spans="1:12" x14ac:dyDescent="0.25">
      <c r="A32" t="str" cm="1">
        <f t="array" ref="A32">_xlfn.XLOOKUP(1,(Contratos!$B$2:$B$203=H32)*(Contratos!$C$2:$C$203=F32)*(Contratos!$D$2:$D$203=G32)*(DATE(D32,MATCH(C32,{"Enero";"Febrero";"Marzo";"Abril";"Mayo";"Junio";"Julio";"Agosto";"Septiembre";"Octubre";"Noviembre";"Diciembre"},0),1)&gt;=DATE(YEAR(Contratos!$E$2:$E$203),MONTH(Contratos!$E$2:$E$203),1))*(DATE(D32,MATCH(C32,{"Enero";"Febrero";"Marzo";"Abril";"Mayo";"Junio";"Julio";"Agosto";"Septiembre";"Octubre";"Noviembre";"Diciembre"},0),1)&lt;=DATE(YEAR(Contratos!$F$2:$F$203),MONTH(Contratos!$F$2:$F$203),1)),Contratos!$A$2:$A$203,"")</f>
        <v>e09f74db-f923-4e51-8bce-340da723f0cc</v>
      </c>
      <c r="B32" t="s">
        <v>124</v>
      </c>
      <c r="C32" s="2" t="s">
        <v>44</v>
      </c>
      <c r="D32" s="12">
        <v>2025</v>
      </c>
      <c r="E32" s="9">
        <v>45730</v>
      </c>
      <c r="F32" t="s">
        <v>2</v>
      </c>
      <c r="G32">
        <v>2</v>
      </c>
      <c r="H32" t="s">
        <v>8</v>
      </c>
      <c r="I32" s="2">
        <v>630000</v>
      </c>
      <c r="J32" s="2">
        <v>61000</v>
      </c>
      <c r="K32" s="2">
        <v>20000</v>
      </c>
      <c r="L32" s="2">
        <f t="shared" ref="L32:L44" si="2">I32-SUM(J32:K32)</f>
        <v>549000</v>
      </c>
    </row>
    <row r="33" spans="1:12" x14ac:dyDescent="0.25">
      <c r="A33" t="str" cm="1">
        <f t="array" ref="A33">_xlfn.XLOOKUP(1,(Contratos!$B$2:$B$203=H33)*(Contratos!$C$2:$C$203=F33)*(Contratos!$D$2:$D$203=G33)*(DATE(D33,MATCH(C33,{"Enero";"Febrero";"Marzo";"Abril";"Mayo";"Junio";"Julio";"Agosto";"Septiembre";"Octubre";"Noviembre";"Diciembre"},0),1)&gt;=DATE(YEAR(Contratos!$E$2:$E$203),MONTH(Contratos!$E$2:$E$203),1))*(DATE(D33,MATCH(C33,{"Enero";"Febrero";"Marzo";"Abril";"Mayo";"Junio";"Julio";"Agosto";"Septiembre";"Octubre";"Noviembre";"Diciembre"},0),1)&lt;=DATE(YEAR(Contratos!$F$2:$F$203),MONTH(Contratos!$F$2:$F$203),1)),Contratos!$A$2:$A$203,"")</f>
        <v>8e4d74fa-ec72-4872-a04b-81c46e2fbd96</v>
      </c>
      <c r="B33" t="s">
        <v>124</v>
      </c>
      <c r="C33" s="2" t="s">
        <v>44</v>
      </c>
      <c r="D33" s="12">
        <v>2025</v>
      </c>
      <c r="E33" s="9">
        <v>45730</v>
      </c>
      <c r="F33" t="s">
        <v>2</v>
      </c>
      <c r="G33">
        <v>3</v>
      </c>
      <c r="H33" t="s">
        <v>9</v>
      </c>
      <c r="I33" s="2">
        <v>600000</v>
      </c>
      <c r="J33" s="2">
        <v>60000</v>
      </c>
      <c r="K33" s="2">
        <v>0</v>
      </c>
      <c r="L33" s="2">
        <f t="shared" si="2"/>
        <v>540000</v>
      </c>
    </row>
    <row r="34" spans="1:12" x14ac:dyDescent="0.25">
      <c r="A34" t="str" cm="1">
        <f t="array" ref="A34">_xlfn.XLOOKUP(1,(Contratos!$B$2:$B$203=H34)*(Contratos!$C$2:$C$203=F34)*(Contratos!$D$2:$D$203=G34)*(DATE(D34,MATCH(C34,{"Enero";"Febrero";"Marzo";"Abril";"Mayo";"Junio";"Julio";"Agosto";"Septiembre";"Octubre";"Noviembre";"Diciembre"},0),1)&gt;=DATE(YEAR(Contratos!$E$2:$E$203),MONTH(Contratos!$E$2:$E$203),1))*(DATE(D34,MATCH(C34,{"Enero";"Febrero";"Marzo";"Abril";"Mayo";"Junio";"Julio";"Agosto";"Septiembre";"Octubre";"Noviembre";"Diciembre"},0),1)&lt;=DATE(YEAR(Contratos!$F$2:$F$203),MONTH(Contratos!$F$2:$F$203),1)),Contratos!$A$2:$A$203,"")</f>
        <v>1c9d267f-bb28-462a-9b6c-10633cc45e36</v>
      </c>
      <c r="B34" t="s">
        <v>124</v>
      </c>
      <c r="C34" s="2" t="s">
        <v>44</v>
      </c>
      <c r="D34" s="12">
        <v>2025</v>
      </c>
      <c r="E34" s="9">
        <v>45730</v>
      </c>
      <c r="F34" t="s">
        <v>3</v>
      </c>
      <c r="G34">
        <v>1</v>
      </c>
      <c r="H34" t="s">
        <v>10</v>
      </c>
      <c r="I34" s="2">
        <v>732100</v>
      </c>
      <c r="J34" s="2">
        <v>71210</v>
      </c>
      <c r="K34" s="2">
        <v>20000</v>
      </c>
      <c r="L34" s="2">
        <f t="shared" si="2"/>
        <v>640890</v>
      </c>
    </row>
    <row r="35" spans="1:12" x14ac:dyDescent="0.25">
      <c r="A35" t="str" cm="1">
        <f t="array" ref="A35">_xlfn.XLOOKUP(1,(Contratos!$B$2:$B$203=H35)*(Contratos!$C$2:$C$203=F35)*(Contratos!$D$2:$D$203=G35)*(DATE(D35,MATCH(C35,{"Enero";"Febrero";"Marzo";"Abril";"Mayo";"Junio";"Julio";"Agosto";"Septiembre";"Octubre";"Noviembre";"Diciembre"},0),1)&gt;=DATE(YEAR(Contratos!$E$2:$E$203),MONTH(Contratos!$E$2:$E$203),1))*(DATE(D35,MATCH(C35,{"Enero";"Febrero";"Marzo";"Abril";"Mayo";"Junio";"Julio";"Agosto";"Septiembre";"Octubre";"Noviembre";"Diciembre"},0),1)&lt;=DATE(YEAR(Contratos!$F$2:$F$203),MONTH(Contratos!$F$2:$F$203),1)),Contratos!$A$2:$A$203,"")</f>
        <v>9d4e93ec-8103-4ec7-94d4-480e0647a578</v>
      </c>
      <c r="B35" t="s">
        <v>124</v>
      </c>
      <c r="C35" s="2" t="s">
        <v>44</v>
      </c>
      <c r="D35" s="12">
        <v>2025</v>
      </c>
      <c r="E35" s="9">
        <v>45730</v>
      </c>
      <c r="F35" t="s">
        <v>3</v>
      </c>
      <c r="G35">
        <v>2</v>
      </c>
      <c r="H35" t="s">
        <v>11</v>
      </c>
      <c r="I35" s="2">
        <v>688000</v>
      </c>
      <c r="J35" s="2">
        <v>66800</v>
      </c>
      <c r="K35" s="2">
        <v>20000</v>
      </c>
      <c r="L35" s="2">
        <f t="shared" si="2"/>
        <v>601200</v>
      </c>
    </row>
    <row r="36" spans="1:12" x14ac:dyDescent="0.25">
      <c r="A36" t="str" cm="1">
        <f t="array" ref="A36">_xlfn.XLOOKUP(1,(Contratos!$B$2:$B$203=H36)*(Contratos!$C$2:$C$203=F36)*(Contratos!$D$2:$D$203=G36)*(DATE(D36,MATCH(C36,{"Enero";"Febrero";"Marzo";"Abril";"Mayo";"Junio";"Julio";"Agosto";"Septiembre";"Octubre";"Noviembre";"Diciembre"},0),1)&gt;=DATE(YEAR(Contratos!$E$2:$E$203),MONTH(Contratos!$E$2:$E$203),1))*(DATE(D36,MATCH(C36,{"Enero";"Febrero";"Marzo";"Abril";"Mayo";"Junio";"Julio";"Agosto";"Septiembre";"Octubre";"Noviembre";"Diciembre"},0),1)&lt;=DATE(YEAR(Contratos!$F$2:$F$203),MONTH(Contratos!$F$2:$F$203),1)),Contratos!$A$2:$A$203,"")</f>
        <v>3c91b9e4-e30d-43c4-93ec-843b4e0debfe</v>
      </c>
      <c r="B36" t="s">
        <v>124</v>
      </c>
      <c r="C36" s="2" t="s">
        <v>44</v>
      </c>
      <c r="D36" s="12">
        <v>2025</v>
      </c>
      <c r="E36" s="9">
        <v>45730</v>
      </c>
      <c r="F36" t="s">
        <v>3</v>
      </c>
      <c r="G36">
        <v>3</v>
      </c>
      <c r="H36" t="s">
        <v>12</v>
      </c>
      <c r="I36" s="2">
        <v>601000</v>
      </c>
      <c r="J36" s="2">
        <v>58000</v>
      </c>
      <c r="K36" s="2">
        <v>20000</v>
      </c>
      <c r="L36" s="2">
        <f t="shared" si="2"/>
        <v>523000</v>
      </c>
    </row>
    <row r="37" spans="1:12" x14ac:dyDescent="0.25">
      <c r="A37" t="str" cm="1">
        <f t="array" ref="A37">_xlfn.XLOOKUP(1,(Contratos!$B$2:$B$203=H37)*(Contratos!$C$2:$C$203=F37)*(Contratos!$D$2:$D$203=G37)*(DATE(D37,MATCH(C37,{"Enero";"Febrero";"Marzo";"Abril";"Mayo";"Junio";"Julio";"Agosto";"Septiembre";"Octubre";"Noviembre";"Diciembre"},0),1)&gt;=DATE(YEAR(Contratos!$E$2:$E$203),MONTH(Contratos!$E$2:$E$203),1))*(DATE(D37,MATCH(C37,{"Enero";"Febrero";"Marzo";"Abril";"Mayo";"Junio";"Julio";"Agosto";"Septiembre";"Octubre";"Noviembre";"Diciembre"},0),1)&lt;=DATE(YEAR(Contratos!$F$2:$F$203),MONTH(Contratos!$F$2:$F$203),1)),Contratos!$A$2:$A$203,"")</f>
        <v>e919ee59-138a-4725-be6c-8f7c401f3312</v>
      </c>
      <c r="B37" t="s">
        <v>124</v>
      </c>
      <c r="C37" s="2" t="s">
        <v>44</v>
      </c>
      <c r="D37" s="12">
        <v>2025</v>
      </c>
      <c r="E37" s="9">
        <v>45730</v>
      </c>
      <c r="F37" t="s">
        <v>4</v>
      </c>
      <c r="G37">
        <v>1</v>
      </c>
      <c r="H37" t="s">
        <v>13</v>
      </c>
      <c r="I37" s="2">
        <v>820000</v>
      </c>
      <c r="J37" s="2">
        <v>80000</v>
      </c>
      <c r="K37" s="2">
        <v>20000</v>
      </c>
      <c r="L37" s="2">
        <f t="shared" si="2"/>
        <v>720000</v>
      </c>
    </row>
    <row r="38" spans="1:12" x14ac:dyDescent="0.25">
      <c r="A38" t="str" cm="1">
        <f t="array" ref="A38">_xlfn.XLOOKUP(1,(Contratos!$B$2:$B$203=H38)*(Contratos!$C$2:$C$203=F38)*(Contratos!$D$2:$D$203=G38)*(DATE(D38,MATCH(C38,{"Enero";"Febrero";"Marzo";"Abril";"Mayo";"Junio";"Julio";"Agosto";"Septiembre";"Octubre";"Noviembre";"Diciembre"},0),1)&gt;=DATE(YEAR(Contratos!$E$2:$E$203),MONTH(Contratos!$E$2:$E$203),1))*(DATE(D38,MATCH(C38,{"Enero";"Febrero";"Marzo";"Abril";"Mayo";"Junio";"Julio";"Agosto";"Septiembre";"Octubre";"Noviembre";"Diciembre"},0),1)&lt;=DATE(YEAR(Contratos!$F$2:$F$203),MONTH(Contratos!$F$2:$F$203),1)),Contratos!$A$2:$A$203,"")</f>
        <v>4c0d2b4b-0d3e-42de-af57-9305df4b2c02</v>
      </c>
      <c r="B38" t="s">
        <v>124</v>
      </c>
      <c r="C38" s="2" t="s">
        <v>44</v>
      </c>
      <c r="D38" s="12">
        <v>2025</v>
      </c>
      <c r="E38" s="9">
        <v>45730</v>
      </c>
      <c r="F38" t="s">
        <v>4</v>
      </c>
      <c r="G38">
        <v>2</v>
      </c>
      <c r="H38" t="s">
        <v>14</v>
      </c>
      <c r="I38" s="2">
        <v>764000</v>
      </c>
      <c r="J38" s="2">
        <v>74400</v>
      </c>
      <c r="K38" s="2">
        <v>20000</v>
      </c>
      <c r="L38" s="2">
        <f t="shared" si="2"/>
        <v>669600</v>
      </c>
    </row>
    <row r="39" spans="1:12" x14ac:dyDescent="0.25">
      <c r="A39" t="str" cm="1">
        <f t="array" ref="A39">_xlfn.XLOOKUP(1,(Contratos!$B$2:$B$203=H39)*(Contratos!$C$2:$C$203=F39)*(Contratos!$D$2:$D$203=G39)*(DATE(D39,MATCH(C39,{"Enero";"Febrero";"Marzo";"Abril";"Mayo";"Junio";"Julio";"Agosto";"Septiembre";"Octubre";"Noviembre";"Diciembre"},0),1)&gt;=DATE(YEAR(Contratos!$E$2:$E$203),MONTH(Contratos!$E$2:$E$203),1))*(DATE(D39,MATCH(C39,{"Enero";"Febrero";"Marzo";"Abril";"Mayo";"Junio";"Julio";"Agosto";"Septiembre";"Octubre";"Noviembre";"Diciembre"},0),1)&lt;=DATE(YEAR(Contratos!$F$2:$F$203),MONTH(Contratos!$F$2:$F$203),1)),Contratos!$A$2:$A$203,"")</f>
        <v>ec860adc-defd-41d8-a89b-21d87b7ea128</v>
      </c>
      <c r="B39" t="s">
        <v>124</v>
      </c>
      <c r="C39" s="2" t="s">
        <v>44</v>
      </c>
      <c r="D39" s="12">
        <v>2025</v>
      </c>
      <c r="E39" s="9">
        <v>45730</v>
      </c>
      <c r="F39" t="s">
        <v>4</v>
      </c>
      <c r="G39">
        <v>3</v>
      </c>
      <c r="H39" t="s">
        <v>15</v>
      </c>
      <c r="I39" s="2">
        <v>700000</v>
      </c>
      <c r="J39" s="2">
        <v>68000</v>
      </c>
      <c r="K39" s="2">
        <v>20000</v>
      </c>
      <c r="L39" s="2">
        <f t="shared" si="2"/>
        <v>612000</v>
      </c>
    </row>
    <row r="40" spans="1:12" x14ac:dyDescent="0.25">
      <c r="A40" t="str" cm="1">
        <f t="array" ref="A40">_xlfn.XLOOKUP(1,(Contratos!$B$2:$B$203=H40)*(Contratos!$C$2:$C$203=F40)*(Contratos!$D$2:$D$203=G40)*(DATE(D40,MATCH(C40,{"Enero";"Febrero";"Marzo";"Abril";"Mayo";"Junio";"Julio";"Agosto";"Septiembre";"Octubre";"Noviembre";"Diciembre"},0),1)&gt;=DATE(YEAR(Contratos!$E$2:$E$203),MONTH(Contratos!$E$2:$E$203),1))*(DATE(D40,MATCH(C40,{"Enero";"Febrero";"Marzo";"Abril";"Mayo";"Junio";"Julio";"Agosto";"Septiembre";"Octubre";"Noviembre";"Diciembre"},0),1)&lt;=DATE(YEAR(Contratos!$F$2:$F$203),MONTH(Contratos!$F$2:$F$203),1)),Contratos!$A$2:$A$203,"")</f>
        <v>f2b5f4e7-1f87-4e12-8e0e-4963e89c092a</v>
      </c>
      <c r="B40" t="s">
        <v>124</v>
      </c>
      <c r="C40" s="2" t="s">
        <v>44</v>
      </c>
      <c r="D40" s="12">
        <v>2025</v>
      </c>
      <c r="E40" s="9">
        <v>45730</v>
      </c>
      <c r="F40" t="s">
        <v>4</v>
      </c>
      <c r="G40">
        <v>4</v>
      </c>
      <c r="H40" t="s">
        <v>16</v>
      </c>
      <c r="I40" s="2">
        <v>620000</v>
      </c>
      <c r="J40" s="2">
        <v>60000</v>
      </c>
      <c r="K40" s="2">
        <v>20000</v>
      </c>
      <c r="L40" s="2">
        <f t="shared" si="2"/>
        <v>540000</v>
      </c>
    </row>
    <row r="41" spans="1:12" x14ac:dyDescent="0.25">
      <c r="A41" t="str" cm="1">
        <f t="array" ref="A41">_xlfn.XLOOKUP(1,(Contratos!$B$2:$B$203=H41)*(Contratos!$C$2:$C$203=F41)*(Contratos!$D$2:$D$203=G41)*(DATE(D41,MATCH(C41,{"Enero";"Febrero";"Marzo";"Abril";"Mayo";"Junio";"Julio";"Agosto";"Septiembre";"Octubre";"Noviembre";"Diciembre"},0),1)&gt;=DATE(YEAR(Contratos!$E$2:$E$203),MONTH(Contratos!$E$2:$E$203),1))*(DATE(D41,MATCH(C41,{"Enero";"Febrero";"Marzo";"Abril";"Mayo";"Junio";"Julio";"Agosto";"Septiembre";"Octubre";"Noviembre";"Diciembre"},0),1)&lt;=DATE(YEAR(Contratos!$F$2:$F$203),MONTH(Contratos!$F$2:$F$203),1)),Contratos!$A$2:$A$203,"")</f>
        <v>16fbb6a2-d237-4dd2-8a6d-7bd76aa8645c</v>
      </c>
      <c r="B41" t="s">
        <v>124</v>
      </c>
      <c r="C41" s="2" t="s">
        <v>44</v>
      </c>
      <c r="D41" s="12">
        <v>2025</v>
      </c>
      <c r="E41" s="9">
        <v>45730</v>
      </c>
      <c r="F41" t="s">
        <v>5</v>
      </c>
      <c r="G41">
        <v>1</v>
      </c>
      <c r="H41" t="s">
        <v>17</v>
      </c>
      <c r="I41" s="2">
        <v>660000</v>
      </c>
      <c r="J41" s="2">
        <v>64000</v>
      </c>
      <c r="K41" s="2">
        <v>20000</v>
      </c>
      <c r="L41" s="2">
        <f t="shared" si="2"/>
        <v>576000</v>
      </c>
    </row>
    <row r="42" spans="1:12" x14ac:dyDescent="0.25">
      <c r="A42" t="str" cm="1">
        <f t="array" ref="A42">_xlfn.XLOOKUP(1,(Contratos!$B$2:$B$203=H42)*(Contratos!$C$2:$C$203=F42)*(Contratos!$D$2:$D$203=G42)*(DATE(D42,MATCH(C42,{"Enero";"Febrero";"Marzo";"Abril";"Mayo";"Junio";"Julio";"Agosto";"Septiembre";"Octubre";"Noviembre";"Diciembre"},0),1)&gt;=DATE(YEAR(Contratos!$E$2:$E$203),MONTH(Contratos!$E$2:$E$203),1))*(DATE(D42,MATCH(C42,{"Enero";"Febrero";"Marzo";"Abril";"Mayo";"Junio";"Julio";"Agosto";"Septiembre";"Octubre";"Noviembre";"Diciembre"},0),1)&lt;=DATE(YEAR(Contratos!$F$2:$F$203),MONTH(Contratos!$F$2:$F$203),1)),Contratos!$A$2:$A$203,"")</f>
        <v>10424221-9e53-4f28-aea8-3549e2e43b87</v>
      </c>
      <c r="B42" t="s">
        <v>124</v>
      </c>
      <c r="C42" s="2" t="s">
        <v>44</v>
      </c>
      <c r="D42" s="12">
        <v>2025</v>
      </c>
      <c r="E42" s="9">
        <v>45730</v>
      </c>
      <c r="F42" t="s">
        <v>5</v>
      </c>
      <c r="G42">
        <v>2</v>
      </c>
      <c r="H42" t="s">
        <v>18</v>
      </c>
      <c r="I42" s="2">
        <v>670000</v>
      </c>
      <c r="J42" s="2">
        <v>65000</v>
      </c>
      <c r="K42" s="2">
        <v>20000</v>
      </c>
      <c r="L42" s="2">
        <f t="shared" si="2"/>
        <v>585000</v>
      </c>
    </row>
    <row r="43" spans="1:12" x14ac:dyDescent="0.25">
      <c r="A43" t="str" cm="1">
        <f t="array" ref="A43">_xlfn.XLOOKUP(1,(Contratos!$B$2:$B$203=H43)*(Contratos!$C$2:$C$203=F43)*(Contratos!$D$2:$D$203=G43)*(DATE(D43,MATCH(C43,{"Enero";"Febrero";"Marzo";"Abril";"Mayo";"Junio";"Julio";"Agosto";"Septiembre";"Octubre";"Noviembre";"Diciembre"},0),1)&gt;=DATE(YEAR(Contratos!$E$2:$E$203),MONTH(Contratos!$E$2:$E$203),1))*(DATE(D43,MATCH(C43,{"Enero";"Febrero";"Marzo";"Abril";"Mayo";"Junio";"Julio";"Agosto";"Septiembre";"Octubre";"Noviembre";"Diciembre"},0),1)&lt;=DATE(YEAR(Contratos!$F$2:$F$203),MONTH(Contratos!$F$2:$F$203),1)),Contratos!$A$2:$A$203,"")</f>
        <v>4768bece-ab83-433d-8e6e-3a9988dd03b1</v>
      </c>
      <c r="B43" t="s">
        <v>124</v>
      </c>
      <c r="C43" s="2" t="s">
        <v>44</v>
      </c>
      <c r="D43" s="12">
        <v>2025</v>
      </c>
      <c r="E43" s="9">
        <v>45730</v>
      </c>
      <c r="F43" t="s">
        <v>5</v>
      </c>
      <c r="G43">
        <v>3</v>
      </c>
      <c r="H43" t="s">
        <v>19</v>
      </c>
      <c r="I43" s="2">
        <v>650000</v>
      </c>
      <c r="J43" s="2">
        <v>63000</v>
      </c>
      <c r="K43" s="2">
        <v>20000</v>
      </c>
      <c r="L43" s="2">
        <f t="shared" si="2"/>
        <v>567000</v>
      </c>
    </row>
    <row r="44" spans="1:12" x14ac:dyDescent="0.25">
      <c r="A44" t="str" cm="1">
        <f t="array" ref="A44">_xlfn.XLOOKUP(1,(Contratos!$B$2:$B$203=H44)*(Contratos!$C$2:$C$203=F44)*(Contratos!$D$2:$D$203=G44)*(DATE(D44,MATCH(C44,{"Enero";"Febrero";"Marzo";"Abril";"Mayo";"Junio";"Julio";"Agosto";"Septiembre";"Octubre";"Noviembre";"Diciembre"},0),1)&gt;=DATE(YEAR(Contratos!$E$2:$E$203),MONTH(Contratos!$E$2:$E$203),1))*(DATE(D44,MATCH(C44,{"Enero";"Febrero";"Marzo";"Abril";"Mayo";"Junio";"Julio";"Agosto";"Septiembre";"Octubre";"Noviembre";"Diciembre"},0),1)&lt;=DATE(YEAR(Contratos!$F$2:$F$203),MONTH(Contratos!$F$2:$F$203),1)),Contratos!$A$2:$A$203,"")</f>
        <v>e6519542-cc79-4b71-bb1a-dedae13cc106</v>
      </c>
      <c r="B44" t="s">
        <v>124</v>
      </c>
      <c r="C44" s="2" t="s">
        <v>44</v>
      </c>
      <c r="D44" s="12">
        <v>2025</v>
      </c>
      <c r="E44" s="9">
        <v>45730</v>
      </c>
      <c r="F44" t="s">
        <v>5</v>
      </c>
      <c r="G44">
        <v>4</v>
      </c>
      <c r="H44" t="s">
        <v>20</v>
      </c>
      <c r="I44" s="2">
        <v>600000</v>
      </c>
      <c r="J44" s="2">
        <v>58000</v>
      </c>
      <c r="K44" s="2">
        <v>20000</v>
      </c>
      <c r="L44" s="2">
        <f t="shared" si="2"/>
        <v>522000</v>
      </c>
    </row>
    <row r="45" spans="1:12" x14ac:dyDescent="0.25">
      <c r="A45" t="str" cm="1">
        <f t="array" ref="A45">_xlfn.XLOOKUP(1,(Contratos!$B$2:$B$203=H45)*(Contratos!$C$2:$C$203=F45)*(Contratos!$D$2:$D$203=G45)*(DATE(D45,MATCH(C45,{"Enero";"Febrero";"Marzo";"Abril";"Mayo";"Junio";"Julio";"Agosto";"Septiembre";"Octubre";"Noviembre";"Diciembre"},0),1)&gt;=DATE(YEAR(Contratos!$E$2:$E$203),MONTH(Contratos!$E$2:$E$203),1))*(DATE(D45,MATCH(C45,{"Enero";"Febrero";"Marzo";"Abril";"Mayo";"Junio";"Julio";"Agosto";"Septiembre";"Octubre";"Noviembre";"Diciembre"},0),1)&lt;=DATE(YEAR(Contratos!$F$2:$F$203),MONTH(Contratos!$F$2:$F$203),1)),Contratos!$A$2:$A$203,"")</f>
        <v>c40dcd0a-2212-45b3-b5d4-2aac8818bdf9</v>
      </c>
      <c r="B45" t="s">
        <v>124</v>
      </c>
      <c r="C45" s="2" t="s">
        <v>45</v>
      </c>
      <c r="D45" s="12">
        <v>2025</v>
      </c>
      <c r="E45" s="9">
        <v>45755</v>
      </c>
      <c r="F45" t="s">
        <v>2</v>
      </c>
      <c r="G45">
        <v>1</v>
      </c>
      <c r="H45" t="s">
        <v>7</v>
      </c>
      <c r="I45" s="2">
        <v>700000</v>
      </c>
      <c r="J45" s="2">
        <v>68000</v>
      </c>
      <c r="K45" s="2">
        <v>20000</v>
      </c>
      <c r="L45" s="2">
        <f>I45-SUM(J45:K45)</f>
        <v>612000</v>
      </c>
    </row>
    <row r="46" spans="1:12" x14ac:dyDescent="0.25">
      <c r="A46" t="str" cm="1">
        <f t="array" ref="A46">_xlfn.XLOOKUP(1,(Contratos!$B$2:$B$203=H46)*(Contratos!$C$2:$C$203=F46)*(Contratos!$D$2:$D$203=G46)*(DATE(D46,MATCH(C46,{"Enero";"Febrero";"Marzo";"Abril";"Mayo";"Junio";"Julio";"Agosto";"Septiembre";"Octubre";"Noviembre";"Diciembre"},0),1)&gt;=DATE(YEAR(Contratos!$E$2:$E$203),MONTH(Contratos!$E$2:$E$203),1))*(DATE(D46,MATCH(C46,{"Enero";"Febrero";"Marzo";"Abril";"Mayo";"Junio";"Julio";"Agosto";"Septiembre";"Octubre";"Noviembre";"Diciembre"},0),1)&lt;=DATE(YEAR(Contratos!$F$2:$F$203),MONTH(Contratos!$F$2:$F$203),1)),Contratos!$A$2:$A$203,"")</f>
        <v>e09f74db-f923-4e51-8bce-340da723f0cc</v>
      </c>
      <c r="B46" t="s">
        <v>124</v>
      </c>
      <c r="C46" s="2" t="s">
        <v>45</v>
      </c>
      <c r="D46" s="12">
        <v>2025</v>
      </c>
      <c r="E46" s="9">
        <v>45755</v>
      </c>
      <c r="F46" t="s">
        <v>2</v>
      </c>
      <c r="G46">
        <v>2</v>
      </c>
      <c r="H46" t="s">
        <v>8</v>
      </c>
      <c r="I46" s="2">
        <v>630000</v>
      </c>
      <c r="J46" s="2">
        <v>61000</v>
      </c>
      <c r="K46" s="2">
        <v>20000</v>
      </c>
      <c r="L46" s="2">
        <f t="shared" ref="L46:L58" si="3">I46-SUM(J46:K46)</f>
        <v>549000</v>
      </c>
    </row>
    <row r="47" spans="1:12" x14ac:dyDescent="0.25">
      <c r="A47" t="str" cm="1">
        <f t="array" ref="A47">_xlfn.XLOOKUP(1,(Contratos!$B$2:$B$203=H47)*(Contratos!$C$2:$C$203=F47)*(Contratos!$D$2:$D$203=G47)*(DATE(D47,MATCH(C47,{"Enero";"Febrero";"Marzo";"Abril";"Mayo";"Junio";"Julio";"Agosto";"Septiembre";"Octubre";"Noviembre";"Diciembre"},0),1)&gt;=DATE(YEAR(Contratos!$E$2:$E$203),MONTH(Contratos!$E$2:$E$203),1))*(DATE(D47,MATCH(C47,{"Enero";"Febrero";"Marzo";"Abril";"Mayo";"Junio";"Julio";"Agosto";"Septiembre";"Octubre";"Noviembre";"Diciembre"},0),1)&lt;=DATE(YEAR(Contratos!$F$2:$F$203),MONTH(Contratos!$F$2:$F$203),1)),Contratos!$A$2:$A$203,"")</f>
        <v>8e4d74fa-ec72-4872-a04b-81c46e2fbd96</v>
      </c>
      <c r="B47" t="s">
        <v>124</v>
      </c>
      <c r="C47" s="2" t="s">
        <v>45</v>
      </c>
      <c r="D47" s="12">
        <v>2025</v>
      </c>
      <c r="E47" s="9">
        <v>45755</v>
      </c>
      <c r="F47" t="s">
        <v>2</v>
      </c>
      <c r="G47">
        <v>3</v>
      </c>
      <c r="H47" t="s">
        <v>9</v>
      </c>
      <c r="I47" s="2">
        <v>600000</v>
      </c>
      <c r="J47" s="2">
        <v>60000</v>
      </c>
      <c r="K47" s="2">
        <v>0</v>
      </c>
      <c r="L47" s="2">
        <f t="shared" si="3"/>
        <v>540000</v>
      </c>
    </row>
    <row r="48" spans="1:12" x14ac:dyDescent="0.25">
      <c r="A48" t="str" cm="1">
        <f t="array" ref="A48">_xlfn.XLOOKUP(1,(Contratos!$B$2:$B$203=H48)*(Contratos!$C$2:$C$203=F48)*(Contratos!$D$2:$D$203=G48)*(DATE(D48,MATCH(C48,{"Enero";"Febrero";"Marzo";"Abril";"Mayo";"Junio";"Julio";"Agosto";"Septiembre";"Octubre";"Noviembre";"Diciembre"},0),1)&gt;=DATE(YEAR(Contratos!$E$2:$E$203),MONTH(Contratos!$E$2:$E$203),1))*(DATE(D48,MATCH(C48,{"Enero";"Febrero";"Marzo";"Abril";"Mayo";"Junio";"Julio";"Agosto";"Septiembre";"Octubre";"Noviembre";"Diciembre"},0),1)&lt;=DATE(YEAR(Contratos!$F$2:$F$203),MONTH(Contratos!$F$2:$F$203),1)),Contratos!$A$2:$A$203,"")</f>
        <v>1c9d267f-bb28-462a-9b6c-10633cc45e36</v>
      </c>
      <c r="B48" t="s">
        <v>124</v>
      </c>
      <c r="C48" s="2" t="s">
        <v>45</v>
      </c>
      <c r="D48" s="12">
        <v>2025</v>
      </c>
      <c r="E48" s="9">
        <v>45755</v>
      </c>
      <c r="F48" t="s">
        <v>3</v>
      </c>
      <c r="G48">
        <v>1</v>
      </c>
      <c r="H48" t="s">
        <v>10</v>
      </c>
      <c r="I48" s="2">
        <v>732100</v>
      </c>
      <c r="J48" s="2">
        <v>71210</v>
      </c>
      <c r="K48" s="2">
        <v>20000</v>
      </c>
      <c r="L48" s="2">
        <f t="shared" si="3"/>
        <v>640890</v>
      </c>
    </row>
    <row r="49" spans="1:12" x14ac:dyDescent="0.25">
      <c r="A49" t="str" cm="1">
        <f t="array" ref="A49">_xlfn.XLOOKUP(1,(Contratos!$B$2:$B$203=H49)*(Contratos!$C$2:$C$203=F49)*(Contratos!$D$2:$D$203=G49)*(DATE(D49,MATCH(C49,{"Enero";"Febrero";"Marzo";"Abril";"Mayo";"Junio";"Julio";"Agosto";"Septiembre";"Octubre";"Noviembre";"Diciembre"},0),1)&gt;=DATE(YEAR(Contratos!$E$2:$E$203),MONTH(Contratos!$E$2:$E$203),1))*(DATE(D49,MATCH(C49,{"Enero";"Febrero";"Marzo";"Abril";"Mayo";"Junio";"Julio";"Agosto";"Septiembre";"Octubre";"Noviembre";"Diciembre"},0),1)&lt;=DATE(YEAR(Contratos!$F$2:$F$203),MONTH(Contratos!$F$2:$F$203),1)),Contratos!$A$2:$A$203,"")</f>
        <v>9d4e93ec-8103-4ec7-94d4-480e0647a578</v>
      </c>
      <c r="B49" t="s">
        <v>124</v>
      </c>
      <c r="C49" s="2" t="s">
        <v>45</v>
      </c>
      <c r="D49" s="12">
        <v>2025</v>
      </c>
      <c r="E49" s="9">
        <v>45755</v>
      </c>
      <c r="F49" t="s">
        <v>3</v>
      </c>
      <c r="G49">
        <v>2</v>
      </c>
      <c r="H49" t="s">
        <v>11</v>
      </c>
      <c r="I49" s="2">
        <v>688000</v>
      </c>
      <c r="J49" s="2">
        <v>66800</v>
      </c>
      <c r="K49" s="2">
        <v>20000</v>
      </c>
      <c r="L49" s="2">
        <f t="shared" si="3"/>
        <v>601200</v>
      </c>
    </row>
    <row r="50" spans="1:12" x14ac:dyDescent="0.25">
      <c r="A50" t="str" cm="1">
        <f t="array" ref="A50">_xlfn.XLOOKUP(1,(Contratos!$B$2:$B$203=H50)*(Contratos!$C$2:$C$203=F50)*(Contratos!$D$2:$D$203=G50)*(DATE(D50,MATCH(C50,{"Enero";"Febrero";"Marzo";"Abril";"Mayo";"Junio";"Julio";"Agosto";"Septiembre";"Octubre";"Noviembre";"Diciembre"},0),1)&gt;=DATE(YEAR(Contratos!$E$2:$E$203),MONTH(Contratos!$E$2:$E$203),1))*(DATE(D50,MATCH(C50,{"Enero";"Febrero";"Marzo";"Abril";"Mayo";"Junio";"Julio";"Agosto";"Septiembre";"Octubre";"Noviembre";"Diciembre"},0),1)&lt;=DATE(YEAR(Contratos!$F$2:$F$203),MONTH(Contratos!$F$2:$F$203),1)),Contratos!$A$2:$A$203,"")</f>
        <v>3c91b9e4-e30d-43c4-93ec-843b4e0debfe</v>
      </c>
      <c r="B50" t="s">
        <v>124</v>
      </c>
      <c r="C50" s="2" t="s">
        <v>45</v>
      </c>
      <c r="D50" s="12">
        <v>2025</v>
      </c>
      <c r="E50" s="9">
        <v>45755</v>
      </c>
      <c r="F50" t="s">
        <v>3</v>
      </c>
      <c r="G50">
        <v>3</v>
      </c>
      <c r="H50" t="s">
        <v>12</v>
      </c>
      <c r="I50" s="2">
        <v>632200</v>
      </c>
      <c r="J50" s="2">
        <v>61220</v>
      </c>
      <c r="K50" s="2">
        <v>20000</v>
      </c>
      <c r="L50" s="2">
        <f t="shared" si="3"/>
        <v>550980</v>
      </c>
    </row>
    <row r="51" spans="1:12" x14ac:dyDescent="0.25">
      <c r="A51" t="str" cm="1">
        <f t="array" ref="A51">_xlfn.XLOOKUP(1,(Contratos!$B$2:$B$203=H51)*(Contratos!$C$2:$C$203=F51)*(Contratos!$D$2:$D$203=G51)*(DATE(D51,MATCH(C51,{"Enero";"Febrero";"Marzo";"Abril";"Mayo";"Junio";"Julio";"Agosto";"Septiembre";"Octubre";"Noviembre";"Diciembre"},0),1)&gt;=DATE(YEAR(Contratos!$E$2:$E$203),MONTH(Contratos!$E$2:$E$203),1))*(DATE(D51,MATCH(C51,{"Enero";"Febrero";"Marzo";"Abril";"Mayo";"Junio";"Julio";"Agosto";"Septiembre";"Octubre";"Noviembre";"Diciembre"},0),1)&lt;=DATE(YEAR(Contratos!$F$2:$F$203),MONTH(Contratos!$F$2:$F$203),1)),Contratos!$A$2:$A$203,"")</f>
        <v>420d1c8b-349d-466e-9369-1ab30c465800</v>
      </c>
      <c r="B51" t="s">
        <v>124</v>
      </c>
      <c r="C51" s="2" t="s">
        <v>45</v>
      </c>
      <c r="D51" s="12">
        <v>2025</v>
      </c>
      <c r="E51" s="9">
        <v>45755</v>
      </c>
      <c r="F51" t="s">
        <v>4</v>
      </c>
      <c r="G51">
        <v>1</v>
      </c>
      <c r="H51" t="s">
        <v>13</v>
      </c>
      <c r="I51" s="2">
        <v>820000</v>
      </c>
      <c r="J51" s="2">
        <v>80000</v>
      </c>
      <c r="K51" s="2">
        <v>20000</v>
      </c>
      <c r="L51" s="2">
        <f t="shared" si="3"/>
        <v>720000</v>
      </c>
    </row>
    <row r="52" spans="1:12" x14ac:dyDescent="0.25">
      <c r="A52" t="str" cm="1">
        <f t="array" ref="A52">_xlfn.XLOOKUP(1,(Contratos!$B$2:$B$203=H52)*(Contratos!$C$2:$C$203=F52)*(Contratos!$D$2:$D$203=G52)*(DATE(D52,MATCH(C52,{"Enero";"Febrero";"Marzo";"Abril";"Mayo";"Junio";"Julio";"Agosto";"Septiembre";"Octubre";"Noviembre";"Diciembre"},0),1)&gt;=DATE(YEAR(Contratos!$E$2:$E$203),MONTH(Contratos!$E$2:$E$203),1))*(DATE(D52,MATCH(C52,{"Enero";"Febrero";"Marzo";"Abril";"Mayo";"Junio";"Julio";"Agosto";"Septiembre";"Octubre";"Noviembre";"Diciembre"},0),1)&lt;=DATE(YEAR(Contratos!$F$2:$F$203),MONTH(Contratos!$F$2:$F$203),1)),Contratos!$A$2:$A$203,"")</f>
        <v>4c0d2b4b-0d3e-42de-af57-9305df4b2c02</v>
      </c>
      <c r="B52" t="s">
        <v>124</v>
      </c>
      <c r="C52" s="2" t="s">
        <v>45</v>
      </c>
      <c r="D52" s="12">
        <v>2025</v>
      </c>
      <c r="E52" s="9">
        <v>45755</v>
      </c>
      <c r="F52" t="s">
        <v>4</v>
      </c>
      <c r="G52">
        <v>2</v>
      </c>
      <c r="H52" t="s">
        <v>14</v>
      </c>
      <c r="I52" s="2">
        <v>764000</v>
      </c>
      <c r="J52" s="2">
        <v>74400</v>
      </c>
      <c r="K52" s="2">
        <v>20000</v>
      </c>
      <c r="L52" s="2">
        <f t="shared" si="3"/>
        <v>669600</v>
      </c>
    </row>
    <row r="53" spans="1:12" x14ac:dyDescent="0.25">
      <c r="A53" t="str" cm="1">
        <f t="array" ref="A53">_xlfn.XLOOKUP(1,(Contratos!$B$2:$B$203=H53)*(Contratos!$C$2:$C$203=F53)*(Contratos!$D$2:$D$203=G53)*(DATE(D53,MATCH(C53,{"Enero";"Febrero";"Marzo";"Abril";"Mayo";"Junio";"Julio";"Agosto";"Septiembre";"Octubre";"Noviembre";"Diciembre"},0),1)&gt;=DATE(YEAR(Contratos!$E$2:$E$203),MONTH(Contratos!$E$2:$E$203),1))*(DATE(D53,MATCH(C53,{"Enero";"Febrero";"Marzo";"Abril";"Mayo";"Junio";"Julio";"Agosto";"Septiembre";"Octubre";"Noviembre";"Diciembre"},0),1)&lt;=DATE(YEAR(Contratos!$F$2:$F$203),MONTH(Contratos!$F$2:$F$203),1)),Contratos!$A$2:$A$203,"")</f>
        <v>ec860adc-defd-41d8-a89b-21d87b7ea128</v>
      </c>
      <c r="B53" t="s">
        <v>124</v>
      </c>
      <c r="C53" s="2" t="s">
        <v>45</v>
      </c>
      <c r="D53" s="12">
        <v>2025</v>
      </c>
      <c r="E53" s="9">
        <v>45755</v>
      </c>
      <c r="F53" t="s">
        <v>4</v>
      </c>
      <c r="G53">
        <v>3</v>
      </c>
      <c r="H53" t="s">
        <v>15</v>
      </c>
      <c r="I53" s="2">
        <v>700000</v>
      </c>
      <c r="J53" s="2">
        <v>68000</v>
      </c>
      <c r="K53" s="2">
        <v>20000</v>
      </c>
      <c r="L53" s="2">
        <f t="shared" si="3"/>
        <v>612000</v>
      </c>
    </row>
    <row r="54" spans="1:12" x14ac:dyDescent="0.25">
      <c r="A54" t="str" cm="1">
        <f t="array" ref="A54">_xlfn.XLOOKUP(1,(Contratos!$B$2:$B$203=H54)*(Contratos!$C$2:$C$203=F54)*(Contratos!$D$2:$D$203=G54)*(DATE(D54,MATCH(C54,{"Enero";"Febrero";"Marzo";"Abril";"Mayo";"Junio";"Julio";"Agosto";"Septiembre";"Octubre";"Noviembre";"Diciembre"},0),1)&gt;=DATE(YEAR(Contratos!$E$2:$E$203),MONTH(Contratos!$E$2:$E$203),1))*(DATE(D54,MATCH(C54,{"Enero";"Febrero";"Marzo";"Abril";"Mayo";"Junio";"Julio";"Agosto";"Septiembre";"Octubre";"Noviembre";"Diciembre"},0),1)&lt;=DATE(YEAR(Contratos!$F$2:$F$203),MONTH(Contratos!$F$2:$F$203),1)),Contratos!$A$2:$A$203,"")</f>
        <v>f2b5f4e7-1f87-4e12-8e0e-4963e89c092a</v>
      </c>
      <c r="B54" t="s">
        <v>124</v>
      </c>
      <c r="C54" s="2" t="s">
        <v>45</v>
      </c>
      <c r="D54" s="12">
        <v>2025</v>
      </c>
      <c r="E54" s="9">
        <v>45755</v>
      </c>
      <c r="F54" t="s">
        <v>4</v>
      </c>
      <c r="G54">
        <v>4</v>
      </c>
      <c r="H54" t="s">
        <v>16</v>
      </c>
      <c r="I54" s="2">
        <v>620000</v>
      </c>
      <c r="J54" s="2">
        <v>60000</v>
      </c>
      <c r="K54" s="2">
        <v>20000</v>
      </c>
      <c r="L54" s="2">
        <f t="shared" si="3"/>
        <v>540000</v>
      </c>
    </row>
    <row r="55" spans="1:12" x14ac:dyDescent="0.25">
      <c r="A55" t="str" cm="1">
        <f t="array" ref="A55">_xlfn.XLOOKUP(1,(Contratos!$B$2:$B$203=H55)*(Contratos!$C$2:$C$203=F55)*(Contratos!$D$2:$D$203=G55)*(DATE(D55,MATCH(C55,{"Enero";"Febrero";"Marzo";"Abril";"Mayo";"Junio";"Julio";"Agosto";"Septiembre";"Octubre";"Noviembre";"Diciembre"},0),1)&gt;=DATE(YEAR(Contratos!$E$2:$E$203),MONTH(Contratos!$E$2:$E$203),1))*(DATE(D55,MATCH(C55,{"Enero";"Febrero";"Marzo";"Abril";"Mayo";"Junio";"Julio";"Agosto";"Septiembre";"Octubre";"Noviembre";"Diciembre"},0),1)&lt;=DATE(YEAR(Contratos!$F$2:$F$203),MONTH(Contratos!$F$2:$F$203),1)),Contratos!$A$2:$A$203,"")</f>
        <v>16fbb6a2-d237-4dd2-8a6d-7bd76aa8645c</v>
      </c>
      <c r="B55" t="s">
        <v>124</v>
      </c>
      <c r="C55" s="2" t="s">
        <v>45</v>
      </c>
      <c r="D55" s="12">
        <v>2025</v>
      </c>
      <c r="E55" s="9">
        <v>45755</v>
      </c>
      <c r="F55" t="s">
        <v>5</v>
      </c>
      <c r="G55">
        <v>1</v>
      </c>
      <c r="H55" t="s">
        <v>17</v>
      </c>
      <c r="I55" s="2">
        <v>660000</v>
      </c>
      <c r="J55" s="2">
        <v>64000</v>
      </c>
      <c r="K55" s="2">
        <v>20000</v>
      </c>
      <c r="L55" s="2">
        <f t="shared" si="3"/>
        <v>576000</v>
      </c>
    </row>
    <row r="56" spans="1:12" x14ac:dyDescent="0.25">
      <c r="A56" t="str" cm="1">
        <f t="array" ref="A56">_xlfn.XLOOKUP(1,(Contratos!$B$2:$B$203=H56)*(Contratos!$C$2:$C$203=F56)*(Contratos!$D$2:$D$203=G56)*(DATE(D56,MATCH(C56,{"Enero";"Febrero";"Marzo";"Abril";"Mayo";"Junio";"Julio";"Agosto";"Septiembre";"Octubre";"Noviembre";"Diciembre"},0),1)&gt;=DATE(YEAR(Contratos!$E$2:$E$203),MONTH(Contratos!$E$2:$E$203),1))*(DATE(D56,MATCH(C56,{"Enero";"Febrero";"Marzo";"Abril";"Mayo";"Junio";"Julio";"Agosto";"Septiembre";"Octubre";"Noviembre";"Diciembre"},0),1)&lt;=DATE(YEAR(Contratos!$F$2:$F$203),MONTH(Contratos!$F$2:$F$203),1)),Contratos!$A$2:$A$203,"")</f>
        <v>10424221-9e53-4f28-aea8-3549e2e43b87</v>
      </c>
      <c r="B56" t="s">
        <v>124</v>
      </c>
      <c r="C56" s="2" t="s">
        <v>45</v>
      </c>
      <c r="D56" s="12">
        <v>2025</v>
      </c>
      <c r="E56" s="9">
        <v>45755</v>
      </c>
      <c r="F56" t="s">
        <v>5</v>
      </c>
      <c r="G56">
        <v>2</v>
      </c>
      <c r="H56" t="s">
        <v>18</v>
      </c>
      <c r="I56" s="2">
        <v>670000</v>
      </c>
      <c r="J56" s="2">
        <v>65000</v>
      </c>
      <c r="K56" s="2">
        <v>20000</v>
      </c>
      <c r="L56" s="2">
        <f t="shared" si="3"/>
        <v>585000</v>
      </c>
    </row>
    <row r="57" spans="1:12" x14ac:dyDescent="0.25">
      <c r="A57" t="str" cm="1">
        <f t="array" ref="A57">_xlfn.XLOOKUP(1,(Contratos!$B$2:$B$203=H57)*(Contratos!$C$2:$C$203=F57)*(Contratos!$D$2:$D$203=G57)*(DATE(D57,MATCH(C57,{"Enero";"Febrero";"Marzo";"Abril";"Mayo";"Junio";"Julio";"Agosto";"Septiembre";"Octubre";"Noviembre";"Diciembre"},0),1)&gt;=DATE(YEAR(Contratos!$E$2:$E$203),MONTH(Contratos!$E$2:$E$203),1))*(DATE(D57,MATCH(C57,{"Enero";"Febrero";"Marzo";"Abril";"Mayo";"Junio";"Julio";"Agosto";"Septiembre";"Octubre";"Noviembre";"Diciembre"},0),1)&lt;=DATE(YEAR(Contratos!$F$2:$F$203),MONTH(Contratos!$F$2:$F$203),1)),Contratos!$A$2:$A$203,"")</f>
        <v>bd3eeb6f-a14f-42cf-9deb-94f16f5eee70</v>
      </c>
      <c r="B57" t="s">
        <v>124</v>
      </c>
      <c r="C57" s="2" t="s">
        <v>45</v>
      </c>
      <c r="D57" s="12">
        <v>2025</v>
      </c>
      <c r="E57" s="9">
        <v>45755</v>
      </c>
      <c r="F57" t="s">
        <v>5</v>
      </c>
      <c r="G57">
        <v>3</v>
      </c>
      <c r="H57" t="s">
        <v>19</v>
      </c>
      <c r="I57" s="2">
        <v>650000</v>
      </c>
      <c r="J57" s="2">
        <v>63000</v>
      </c>
      <c r="K57" s="2">
        <v>20000</v>
      </c>
      <c r="L57" s="2">
        <f t="shared" si="3"/>
        <v>567000</v>
      </c>
    </row>
    <row r="58" spans="1:12" x14ac:dyDescent="0.25">
      <c r="A58" t="str" cm="1">
        <f t="array" ref="A58">_xlfn.XLOOKUP(1,(Contratos!$B$2:$B$203=H58)*(Contratos!$C$2:$C$203=F58)*(Contratos!$D$2:$D$203=G58)*(DATE(D58,MATCH(C58,{"Enero";"Febrero";"Marzo";"Abril";"Mayo";"Junio";"Julio";"Agosto";"Septiembre";"Octubre";"Noviembre";"Diciembre"},0),1)&gt;=DATE(YEAR(Contratos!$E$2:$E$203),MONTH(Contratos!$E$2:$E$203),1))*(DATE(D58,MATCH(C58,{"Enero";"Febrero";"Marzo";"Abril";"Mayo";"Junio";"Julio";"Agosto";"Septiembre";"Octubre";"Noviembre";"Diciembre"},0),1)&lt;=DATE(YEAR(Contratos!$F$2:$F$203),MONTH(Contratos!$F$2:$F$203),1)),Contratos!$A$2:$A$203,"")</f>
        <v>e6519542-cc79-4b71-bb1a-dedae13cc106</v>
      </c>
      <c r="B58" t="s">
        <v>124</v>
      </c>
      <c r="C58" s="2" t="s">
        <v>45</v>
      </c>
      <c r="D58" s="12">
        <v>2025</v>
      </c>
      <c r="E58" s="9">
        <v>45755</v>
      </c>
      <c r="F58" t="s">
        <v>5</v>
      </c>
      <c r="G58">
        <v>4</v>
      </c>
      <c r="H58" t="s">
        <v>20</v>
      </c>
      <c r="I58" s="2">
        <v>600000</v>
      </c>
      <c r="J58" s="2">
        <v>58000</v>
      </c>
      <c r="K58" s="2">
        <v>20000</v>
      </c>
      <c r="L58" s="2">
        <f t="shared" si="3"/>
        <v>522000</v>
      </c>
    </row>
    <row r="59" spans="1:12" x14ac:dyDescent="0.25">
      <c r="A59" t="str" cm="1">
        <f t="array" ref="A59">_xlfn.XLOOKUP(1,(Contratos!$B$2:$B$203=H59)*(Contratos!$C$2:$C$203=F59)*(Contratos!$D$2:$D$203=G59)*(DATE(D59,MATCH(C59,{"Enero";"Febrero";"Marzo";"Abril";"Mayo";"Junio";"Julio";"Agosto";"Septiembre";"Octubre";"Noviembre";"Diciembre"},0),1)&gt;=DATE(YEAR(Contratos!$E$2:$E$203),MONTH(Contratos!$E$2:$E$203),1))*(DATE(D59,MATCH(C59,{"Enero";"Febrero";"Marzo";"Abril";"Mayo";"Junio";"Julio";"Agosto";"Septiembre";"Octubre";"Noviembre";"Diciembre"},0),1)&lt;=DATE(YEAR(Contratos!$F$2:$F$203),MONTH(Contratos!$F$2:$F$203),1)),Contratos!$A$2:$A$203,"")</f>
        <v>0f257e4c-3331-4e0e-869e-42c5a332a2a1</v>
      </c>
      <c r="B59" t="s">
        <v>124</v>
      </c>
      <c r="C59" s="2" t="s">
        <v>46</v>
      </c>
      <c r="D59" s="12">
        <v>2025</v>
      </c>
      <c r="E59" s="9">
        <v>45786</v>
      </c>
      <c r="F59" t="s">
        <v>2</v>
      </c>
      <c r="G59">
        <v>1</v>
      </c>
      <c r="H59" t="s">
        <v>7</v>
      </c>
      <c r="I59" s="2">
        <v>700000</v>
      </c>
      <c r="J59" s="2">
        <v>68000</v>
      </c>
      <c r="K59" s="2">
        <v>20000</v>
      </c>
      <c r="L59" s="2">
        <f>I59-SUM(J59:K59)</f>
        <v>612000</v>
      </c>
    </row>
    <row r="60" spans="1:12" x14ac:dyDescent="0.25">
      <c r="A60" t="str" cm="1">
        <f t="array" ref="A60">_xlfn.XLOOKUP(1,(Contratos!$B$2:$B$203=H60)*(Contratos!$C$2:$C$203=F60)*(Contratos!$D$2:$D$203=G60)*(DATE(D60,MATCH(C60,{"Enero";"Febrero";"Marzo";"Abril";"Mayo";"Junio";"Julio";"Agosto";"Septiembre";"Octubre";"Noviembre";"Diciembre"},0),1)&gt;=DATE(YEAR(Contratos!$E$2:$E$203),MONTH(Contratos!$E$2:$E$203),1))*(DATE(D60,MATCH(C60,{"Enero";"Febrero";"Marzo";"Abril";"Mayo";"Junio";"Julio";"Agosto";"Septiembre";"Octubre";"Noviembre";"Diciembre"},0),1)&lt;=DATE(YEAR(Contratos!$F$2:$F$203),MONTH(Contratos!$F$2:$F$203),1)),Contratos!$A$2:$A$203,"")</f>
        <v>e09f74db-f923-4e51-8bce-340da723f0cc</v>
      </c>
      <c r="B60" t="s">
        <v>124</v>
      </c>
      <c r="C60" s="2" t="s">
        <v>46</v>
      </c>
      <c r="D60" s="12">
        <v>2025</v>
      </c>
      <c r="E60" s="9">
        <v>45786</v>
      </c>
      <c r="F60" t="s">
        <v>2</v>
      </c>
      <c r="G60">
        <v>2</v>
      </c>
      <c r="H60" t="s">
        <v>8</v>
      </c>
      <c r="I60" s="2">
        <v>662700</v>
      </c>
      <c r="J60" s="2">
        <v>64270</v>
      </c>
      <c r="K60" s="2">
        <v>20000</v>
      </c>
      <c r="L60" s="2">
        <f t="shared" ref="L60:L72" si="4">I60-SUM(J60:K60)</f>
        <v>578430</v>
      </c>
    </row>
    <row r="61" spans="1:12" x14ac:dyDescent="0.25">
      <c r="A61" t="str" cm="1">
        <f t="array" ref="A61">_xlfn.XLOOKUP(1,(Contratos!$B$2:$B$203=H61)*(Contratos!$C$2:$C$203=F61)*(Contratos!$D$2:$D$203=G61)*(DATE(D61,MATCH(C61,{"Enero";"Febrero";"Marzo";"Abril";"Mayo";"Junio";"Julio";"Agosto";"Septiembre";"Octubre";"Noviembre";"Diciembre"},0),1)&gt;=DATE(YEAR(Contratos!$E$2:$E$203),MONTH(Contratos!$E$2:$E$203),1))*(DATE(D61,MATCH(C61,{"Enero";"Febrero";"Marzo";"Abril";"Mayo";"Junio";"Julio";"Agosto";"Septiembre";"Octubre";"Noviembre";"Diciembre"},0),1)&lt;=DATE(YEAR(Contratos!$F$2:$F$203),MONTH(Contratos!$F$2:$F$203),1)),Contratos!$A$2:$A$203,"")</f>
        <v>8e4d74fa-ec72-4872-a04b-81c46e2fbd96</v>
      </c>
      <c r="B61" t="s">
        <v>124</v>
      </c>
      <c r="C61" s="2" t="s">
        <v>46</v>
      </c>
      <c r="D61" s="12">
        <v>2025</v>
      </c>
      <c r="E61" s="9">
        <v>45786</v>
      </c>
      <c r="F61" t="s">
        <v>2</v>
      </c>
      <c r="G61">
        <v>3</v>
      </c>
      <c r="H61" t="s">
        <v>9</v>
      </c>
      <c r="I61" s="2">
        <v>600000</v>
      </c>
      <c r="J61" s="2">
        <v>60000</v>
      </c>
      <c r="K61" s="2">
        <v>0</v>
      </c>
      <c r="L61" s="2">
        <f t="shared" si="4"/>
        <v>540000</v>
      </c>
    </row>
    <row r="62" spans="1:12" x14ac:dyDescent="0.25">
      <c r="A62" t="str" cm="1">
        <f t="array" ref="A62">_xlfn.XLOOKUP(1,(Contratos!$B$2:$B$203=H62)*(Contratos!$C$2:$C$203=F62)*(Contratos!$D$2:$D$203=G62)*(DATE(D62,MATCH(C62,{"Enero";"Febrero";"Marzo";"Abril";"Mayo";"Junio";"Julio";"Agosto";"Septiembre";"Octubre";"Noviembre";"Diciembre"},0),1)&gt;=DATE(YEAR(Contratos!$E$2:$E$203),MONTH(Contratos!$E$2:$E$203),1))*(DATE(D62,MATCH(C62,{"Enero";"Febrero";"Marzo";"Abril";"Mayo";"Junio";"Julio";"Agosto";"Septiembre";"Octubre";"Noviembre";"Diciembre"},0),1)&lt;=DATE(YEAR(Contratos!$F$2:$F$203),MONTH(Contratos!$F$2:$F$203),1)),Contratos!$A$2:$A$203,"")</f>
        <v>1c9d267f-bb28-462a-9b6c-10633cc45e36</v>
      </c>
      <c r="B62" t="s">
        <v>124</v>
      </c>
      <c r="C62" s="2" t="s">
        <v>46</v>
      </c>
      <c r="D62" s="12">
        <v>2025</v>
      </c>
      <c r="E62" s="9">
        <v>45786</v>
      </c>
      <c r="F62" t="s">
        <v>3</v>
      </c>
      <c r="G62">
        <v>1</v>
      </c>
      <c r="H62" t="s">
        <v>10</v>
      </c>
      <c r="I62" s="2">
        <v>732100</v>
      </c>
      <c r="J62" s="2">
        <v>71210</v>
      </c>
      <c r="K62" s="2">
        <v>20000</v>
      </c>
      <c r="L62" s="2">
        <f t="shared" si="4"/>
        <v>640890</v>
      </c>
    </row>
    <row r="63" spans="1:12" x14ac:dyDescent="0.25">
      <c r="A63" t="str" cm="1">
        <f t="array" ref="A63">_xlfn.XLOOKUP(1,(Contratos!$B$2:$B$203=H63)*(Contratos!$C$2:$C$203=F63)*(Contratos!$D$2:$D$203=G63)*(DATE(D63,MATCH(C63,{"Enero";"Febrero";"Marzo";"Abril";"Mayo";"Junio";"Julio";"Agosto";"Septiembre";"Octubre";"Noviembre";"Diciembre"},0),1)&gt;=DATE(YEAR(Contratos!$E$2:$E$203),MONTH(Contratos!$E$2:$E$203),1))*(DATE(D63,MATCH(C63,{"Enero";"Febrero";"Marzo";"Abril";"Mayo";"Junio";"Julio";"Agosto";"Septiembre";"Octubre";"Noviembre";"Diciembre"},0),1)&lt;=DATE(YEAR(Contratos!$F$2:$F$203),MONTH(Contratos!$F$2:$F$203),1)),Contratos!$A$2:$A$203,"")</f>
        <v>9d4e93ec-8103-4ec7-94d4-480e0647a578</v>
      </c>
      <c r="B63" t="s">
        <v>124</v>
      </c>
      <c r="C63" s="2" t="s">
        <v>46</v>
      </c>
      <c r="D63" s="12">
        <v>2025</v>
      </c>
      <c r="E63" s="9">
        <v>45786</v>
      </c>
      <c r="F63" t="s">
        <v>3</v>
      </c>
      <c r="G63">
        <v>2</v>
      </c>
      <c r="H63" t="s">
        <v>11</v>
      </c>
      <c r="I63" s="2">
        <v>688000</v>
      </c>
      <c r="J63" s="2">
        <v>66800</v>
      </c>
      <c r="K63" s="2">
        <v>20000</v>
      </c>
      <c r="L63" s="2">
        <f t="shared" si="4"/>
        <v>601200</v>
      </c>
    </row>
    <row r="64" spans="1:12" x14ac:dyDescent="0.25">
      <c r="A64" t="str" cm="1">
        <f t="array" ref="A64">_xlfn.XLOOKUP(1,(Contratos!$B$2:$B$203=H64)*(Contratos!$C$2:$C$203=F64)*(Contratos!$D$2:$D$203=G64)*(DATE(D64,MATCH(C64,{"Enero";"Febrero";"Marzo";"Abril";"Mayo";"Junio";"Julio";"Agosto";"Septiembre";"Octubre";"Noviembre";"Diciembre"},0),1)&gt;=DATE(YEAR(Contratos!$E$2:$E$203),MONTH(Contratos!$E$2:$E$203),1))*(DATE(D64,MATCH(C64,{"Enero";"Febrero";"Marzo";"Abril";"Mayo";"Junio";"Julio";"Agosto";"Septiembre";"Octubre";"Noviembre";"Diciembre"},0),1)&lt;=DATE(YEAR(Contratos!$F$2:$F$203),MONTH(Contratos!$F$2:$F$203),1)),Contratos!$A$2:$A$203,"")</f>
        <v>652336e7-90e6-4346-a1db-9c99b994afe6</v>
      </c>
      <c r="B64" t="s">
        <v>124</v>
      </c>
      <c r="C64" s="2" t="s">
        <v>46</v>
      </c>
      <c r="D64" s="12">
        <v>2025</v>
      </c>
      <c r="E64" s="9">
        <v>45786</v>
      </c>
      <c r="F64" t="s">
        <v>3</v>
      </c>
      <c r="G64">
        <v>3</v>
      </c>
      <c r="H64" t="s">
        <v>12</v>
      </c>
      <c r="I64" s="2">
        <v>632200</v>
      </c>
      <c r="J64" s="2">
        <v>61220</v>
      </c>
      <c r="K64" s="2">
        <v>20000</v>
      </c>
      <c r="L64" s="2">
        <f t="shared" si="4"/>
        <v>550980</v>
      </c>
    </row>
    <row r="65" spans="1:12" x14ac:dyDescent="0.25">
      <c r="A65" t="str" cm="1">
        <f t="array" ref="A65">_xlfn.XLOOKUP(1,(Contratos!$B$2:$B$203=H65)*(Contratos!$C$2:$C$203=F65)*(Contratos!$D$2:$D$203=G65)*(DATE(D65,MATCH(C65,{"Enero";"Febrero";"Marzo";"Abril";"Mayo";"Junio";"Julio";"Agosto";"Septiembre";"Octubre";"Noviembre";"Diciembre"},0),1)&gt;=DATE(YEAR(Contratos!$E$2:$E$203),MONTH(Contratos!$E$2:$E$203),1))*(DATE(D65,MATCH(C65,{"Enero";"Febrero";"Marzo";"Abril";"Mayo";"Junio";"Julio";"Agosto";"Septiembre";"Octubre";"Noviembre";"Diciembre"},0),1)&lt;=DATE(YEAR(Contratos!$F$2:$F$203),MONTH(Contratos!$F$2:$F$203),1)),Contratos!$A$2:$A$203,"")</f>
        <v>420d1c8b-349d-466e-9369-1ab30c465800</v>
      </c>
      <c r="B65" t="s">
        <v>124</v>
      </c>
      <c r="C65" s="2" t="s">
        <v>46</v>
      </c>
      <c r="D65" s="12">
        <v>2025</v>
      </c>
      <c r="E65" s="9">
        <v>45786</v>
      </c>
      <c r="F65" t="s">
        <v>4</v>
      </c>
      <c r="G65">
        <v>1</v>
      </c>
      <c r="H65" t="s">
        <v>13</v>
      </c>
      <c r="I65" s="2">
        <v>820000</v>
      </c>
      <c r="J65" s="2">
        <v>80000</v>
      </c>
      <c r="K65" s="2">
        <v>20000</v>
      </c>
      <c r="L65" s="2">
        <f t="shared" si="4"/>
        <v>720000</v>
      </c>
    </row>
    <row r="66" spans="1:12" x14ac:dyDescent="0.25">
      <c r="A66" t="str" cm="1">
        <f t="array" ref="A66">_xlfn.XLOOKUP(1,(Contratos!$B$2:$B$203=H66)*(Contratos!$C$2:$C$203=F66)*(Contratos!$D$2:$D$203=G66)*(DATE(D66,MATCH(C66,{"Enero";"Febrero";"Marzo";"Abril";"Mayo";"Junio";"Julio";"Agosto";"Septiembre";"Octubre";"Noviembre";"Diciembre"},0),1)&gt;=DATE(YEAR(Contratos!$E$2:$E$203),MONTH(Contratos!$E$2:$E$203),1))*(DATE(D66,MATCH(C66,{"Enero";"Febrero";"Marzo";"Abril";"Mayo";"Junio";"Julio";"Agosto";"Septiembre";"Octubre";"Noviembre";"Diciembre"},0),1)&lt;=DATE(YEAR(Contratos!$F$2:$F$203),MONTH(Contratos!$F$2:$F$203),1)),Contratos!$A$2:$A$203,"")</f>
        <v>4c0d2b4b-0d3e-42de-af57-9305df4b2c02</v>
      </c>
      <c r="B66" t="s">
        <v>124</v>
      </c>
      <c r="C66" s="2" t="s">
        <v>46</v>
      </c>
      <c r="D66" s="12">
        <v>2025</v>
      </c>
      <c r="E66" s="9">
        <v>45786</v>
      </c>
      <c r="F66" t="s">
        <v>4</v>
      </c>
      <c r="G66">
        <v>2</v>
      </c>
      <c r="H66" t="s">
        <v>14</v>
      </c>
      <c r="I66" s="2">
        <v>764000</v>
      </c>
      <c r="J66" s="2">
        <v>74400</v>
      </c>
      <c r="K66" s="2">
        <v>20000</v>
      </c>
      <c r="L66" s="2">
        <f t="shared" si="4"/>
        <v>669600</v>
      </c>
    </row>
    <row r="67" spans="1:12" x14ac:dyDescent="0.25">
      <c r="A67" t="str" cm="1">
        <f t="array" ref="A67">_xlfn.XLOOKUP(1,(Contratos!$B$2:$B$203=H67)*(Contratos!$C$2:$C$203=F67)*(Contratos!$D$2:$D$203=G67)*(DATE(D67,MATCH(C67,{"Enero";"Febrero";"Marzo";"Abril";"Mayo";"Junio";"Julio";"Agosto";"Septiembre";"Octubre";"Noviembre";"Diciembre"},0),1)&gt;=DATE(YEAR(Contratos!$E$2:$E$203),MONTH(Contratos!$E$2:$E$203),1))*(DATE(D67,MATCH(C67,{"Enero";"Febrero";"Marzo";"Abril";"Mayo";"Junio";"Julio";"Agosto";"Septiembre";"Octubre";"Noviembre";"Diciembre"},0),1)&lt;=DATE(YEAR(Contratos!$F$2:$F$203),MONTH(Contratos!$F$2:$F$203),1)),Contratos!$A$2:$A$203,"")</f>
        <v>ec860adc-defd-41d8-a89b-21d87b7ea128</v>
      </c>
      <c r="B67" t="s">
        <v>124</v>
      </c>
      <c r="C67" s="2" t="s">
        <v>46</v>
      </c>
      <c r="D67" s="12">
        <v>2025</v>
      </c>
      <c r="E67" s="9">
        <v>45786</v>
      </c>
      <c r="F67" t="s">
        <v>4</v>
      </c>
      <c r="G67">
        <v>3</v>
      </c>
      <c r="H67" t="s">
        <v>15</v>
      </c>
      <c r="I67" s="2">
        <v>700000</v>
      </c>
      <c r="J67" s="2">
        <v>68000</v>
      </c>
      <c r="K67" s="2">
        <v>20000</v>
      </c>
      <c r="L67" s="2">
        <f t="shared" si="4"/>
        <v>612000</v>
      </c>
    </row>
    <row r="68" spans="1:12" x14ac:dyDescent="0.25">
      <c r="A68" t="str" cm="1">
        <f t="array" ref="A68">_xlfn.XLOOKUP(1,(Contratos!$B$2:$B$203=H68)*(Contratos!$C$2:$C$203=F68)*(Contratos!$D$2:$D$203=G68)*(DATE(D68,MATCH(C68,{"Enero";"Febrero";"Marzo";"Abril";"Mayo";"Junio";"Julio";"Agosto";"Septiembre";"Octubre";"Noviembre";"Diciembre"},0),1)&gt;=DATE(YEAR(Contratos!$E$2:$E$203),MONTH(Contratos!$E$2:$E$203),1))*(DATE(D68,MATCH(C68,{"Enero";"Febrero";"Marzo";"Abril";"Mayo";"Junio";"Julio";"Agosto";"Septiembre";"Octubre";"Noviembre";"Diciembre"},0),1)&lt;=DATE(YEAR(Contratos!$F$2:$F$203),MONTH(Contratos!$F$2:$F$203),1)),Contratos!$A$2:$A$203,"")</f>
        <v>f2b5f4e7-1f87-4e12-8e0e-4963e89c092a</v>
      </c>
      <c r="B68" t="s">
        <v>124</v>
      </c>
      <c r="C68" s="2" t="s">
        <v>46</v>
      </c>
      <c r="D68" s="12">
        <v>2025</v>
      </c>
      <c r="E68" s="9">
        <v>45786</v>
      </c>
      <c r="F68" t="s">
        <v>4</v>
      </c>
      <c r="G68">
        <v>4</v>
      </c>
      <c r="H68" t="s">
        <v>16</v>
      </c>
      <c r="I68" s="2">
        <v>620000</v>
      </c>
      <c r="J68" s="2">
        <v>60000</v>
      </c>
      <c r="K68" s="2">
        <v>20000</v>
      </c>
      <c r="L68" s="2">
        <f t="shared" si="4"/>
        <v>540000</v>
      </c>
    </row>
    <row r="69" spans="1:12" x14ac:dyDescent="0.25">
      <c r="A69" t="str" cm="1">
        <f t="array" ref="A69">_xlfn.XLOOKUP(1,(Contratos!$B$2:$B$203=H69)*(Contratos!$C$2:$C$203=F69)*(Contratos!$D$2:$D$203=G69)*(DATE(D69,MATCH(C69,{"Enero";"Febrero";"Marzo";"Abril";"Mayo";"Junio";"Julio";"Agosto";"Septiembre";"Octubre";"Noviembre";"Diciembre"},0),1)&gt;=DATE(YEAR(Contratos!$E$2:$E$203),MONTH(Contratos!$E$2:$E$203),1))*(DATE(D69,MATCH(C69,{"Enero";"Febrero";"Marzo";"Abril";"Mayo";"Junio";"Julio";"Agosto";"Septiembre";"Octubre";"Noviembre";"Diciembre"},0),1)&lt;=DATE(YEAR(Contratos!$F$2:$F$203),MONTH(Contratos!$F$2:$F$203),1)),Contratos!$A$2:$A$203,"")</f>
        <v>16fbb6a2-d237-4dd2-8a6d-7bd76aa8645c</v>
      </c>
      <c r="B69" t="s">
        <v>124</v>
      </c>
      <c r="C69" s="2" t="s">
        <v>46</v>
      </c>
      <c r="D69" s="12">
        <v>2025</v>
      </c>
      <c r="E69" s="9">
        <v>45786</v>
      </c>
      <c r="F69" t="s">
        <v>5</v>
      </c>
      <c r="G69">
        <v>1</v>
      </c>
      <c r="H69" t="s">
        <v>17</v>
      </c>
      <c r="I69" s="2">
        <v>660000</v>
      </c>
      <c r="J69" s="2">
        <v>64000</v>
      </c>
      <c r="K69" s="2">
        <v>20000</v>
      </c>
      <c r="L69" s="2">
        <f t="shared" si="4"/>
        <v>576000</v>
      </c>
    </row>
    <row r="70" spans="1:12" x14ac:dyDescent="0.25">
      <c r="A70" t="str" cm="1">
        <f t="array" ref="A70">_xlfn.XLOOKUP(1,(Contratos!$B$2:$B$203=H70)*(Contratos!$C$2:$C$203=F70)*(Contratos!$D$2:$D$203=G70)*(DATE(D70,MATCH(C70,{"Enero";"Febrero";"Marzo";"Abril";"Mayo";"Junio";"Julio";"Agosto";"Septiembre";"Octubre";"Noviembre";"Diciembre"},0),1)&gt;=DATE(YEAR(Contratos!$E$2:$E$203),MONTH(Contratos!$E$2:$E$203),1))*(DATE(D70,MATCH(C70,{"Enero";"Febrero";"Marzo";"Abril";"Mayo";"Junio";"Julio";"Agosto";"Septiembre";"Octubre";"Noviembre";"Diciembre"},0),1)&lt;=DATE(YEAR(Contratos!$F$2:$F$203),MONTH(Contratos!$F$2:$F$203),1)),Contratos!$A$2:$A$203,"")</f>
        <v>10424221-9e53-4f28-aea8-3549e2e43b87</v>
      </c>
      <c r="B70" t="s">
        <v>124</v>
      </c>
      <c r="C70" s="2" t="s">
        <v>46</v>
      </c>
      <c r="D70" s="12">
        <v>2025</v>
      </c>
      <c r="E70" s="9">
        <v>45786</v>
      </c>
      <c r="F70" t="s">
        <v>5</v>
      </c>
      <c r="G70">
        <v>2</v>
      </c>
      <c r="H70" t="s">
        <v>18</v>
      </c>
      <c r="I70" s="2">
        <v>670000</v>
      </c>
      <c r="J70" s="2">
        <v>65000</v>
      </c>
      <c r="K70" s="2">
        <v>20000</v>
      </c>
      <c r="L70" s="2">
        <f t="shared" si="4"/>
        <v>585000</v>
      </c>
    </row>
    <row r="71" spans="1:12" x14ac:dyDescent="0.25">
      <c r="A71" t="str" cm="1">
        <f t="array" ref="A71">_xlfn.XLOOKUP(1,(Contratos!$B$2:$B$203=H71)*(Contratos!$C$2:$C$203=F71)*(Contratos!$D$2:$D$203=G71)*(DATE(D71,MATCH(C71,{"Enero";"Febrero";"Marzo";"Abril";"Mayo";"Junio";"Julio";"Agosto";"Septiembre";"Octubre";"Noviembre";"Diciembre"},0),1)&gt;=DATE(YEAR(Contratos!$E$2:$E$203),MONTH(Contratos!$E$2:$E$203),1))*(DATE(D71,MATCH(C71,{"Enero";"Febrero";"Marzo";"Abril";"Mayo";"Junio";"Julio";"Agosto";"Septiembre";"Octubre";"Noviembre";"Diciembre"},0),1)&lt;=DATE(YEAR(Contratos!$F$2:$F$203),MONTH(Contratos!$F$2:$F$203),1)),Contratos!$A$2:$A$203,"")</f>
        <v>bd3eeb6f-a14f-42cf-9deb-94f16f5eee70</v>
      </c>
      <c r="B71" t="s">
        <v>124</v>
      </c>
      <c r="C71" s="2" t="s">
        <v>46</v>
      </c>
      <c r="D71" s="12">
        <v>2025</v>
      </c>
      <c r="E71" s="9">
        <v>45786</v>
      </c>
      <c r="F71" t="s">
        <v>5</v>
      </c>
      <c r="G71">
        <v>3</v>
      </c>
      <c r="H71" t="s">
        <v>19</v>
      </c>
      <c r="I71" s="2">
        <v>650000</v>
      </c>
      <c r="J71" s="2">
        <v>63000</v>
      </c>
      <c r="K71" s="2">
        <v>20000</v>
      </c>
      <c r="L71" s="2">
        <f t="shared" si="4"/>
        <v>567000</v>
      </c>
    </row>
    <row r="72" spans="1:12" x14ac:dyDescent="0.25">
      <c r="A72" t="str" cm="1">
        <f t="array" ref="A72">_xlfn.XLOOKUP(1,(Contratos!$B$2:$B$203=H72)*(Contratos!$C$2:$C$203=F72)*(Contratos!$D$2:$D$203=G72)*(DATE(D72,MATCH(C72,{"Enero";"Febrero";"Marzo";"Abril";"Mayo";"Junio";"Julio";"Agosto";"Septiembre";"Octubre";"Noviembre";"Diciembre"},0),1)&gt;=DATE(YEAR(Contratos!$E$2:$E$203),MONTH(Contratos!$E$2:$E$203),1))*(DATE(D72,MATCH(C72,{"Enero";"Febrero";"Marzo";"Abril";"Mayo";"Junio";"Julio";"Agosto";"Septiembre";"Octubre";"Noviembre";"Diciembre"},0),1)&lt;=DATE(YEAR(Contratos!$F$2:$F$203),MONTH(Contratos!$F$2:$F$203),1)),Contratos!$A$2:$A$203,"")</f>
        <v>8dc982a8-8e30-4eb7-905c-fb55c4175ca4</v>
      </c>
      <c r="B72" t="s">
        <v>124</v>
      </c>
      <c r="C72" s="2" t="s">
        <v>46</v>
      </c>
      <c r="D72" s="12">
        <v>2025</v>
      </c>
      <c r="E72" s="9">
        <v>45786</v>
      </c>
      <c r="F72" t="s">
        <v>5</v>
      </c>
      <c r="G72">
        <v>4</v>
      </c>
      <c r="H72" t="s">
        <v>20</v>
      </c>
      <c r="I72" s="2">
        <v>600000</v>
      </c>
      <c r="J72" s="2">
        <v>58000</v>
      </c>
      <c r="K72" s="2">
        <v>20000</v>
      </c>
      <c r="L72" s="2">
        <f t="shared" si="4"/>
        <v>522000</v>
      </c>
    </row>
    <row r="73" spans="1:12" x14ac:dyDescent="0.25">
      <c r="A73" t="str" cm="1">
        <f t="array" ref="A73">_xlfn.XLOOKUP(1,(Contratos!$B$2:$B$203=H73)*(Contratos!$C$2:$C$203=F73)*(Contratos!$D$2:$D$203=G73)*(DATE(D73,MATCH(C73,{"Enero";"Febrero";"Marzo";"Abril";"Mayo";"Junio";"Julio";"Agosto";"Septiembre";"Octubre";"Noviembre";"Diciembre"},0),1)&gt;=DATE(YEAR(Contratos!$E$2:$E$203),MONTH(Contratos!$E$2:$E$203),1))*(DATE(D73,MATCH(C73,{"Enero";"Febrero";"Marzo";"Abril";"Mayo";"Junio";"Julio";"Agosto";"Septiembre";"Octubre";"Noviembre";"Diciembre"},0),1)&lt;=DATE(YEAR(Contratos!$F$2:$F$203),MONTH(Contratos!$F$2:$F$203),1)),Contratos!$A$2:$A$203,"")</f>
        <v>0f257e4c-3331-4e0e-869e-42c5a332a2a1</v>
      </c>
      <c r="B73" t="s">
        <v>124</v>
      </c>
      <c r="C73" s="2" t="s">
        <v>47</v>
      </c>
      <c r="D73" s="12">
        <v>2025</v>
      </c>
      <c r="E73" s="9">
        <v>45835</v>
      </c>
      <c r="F73" t="s">
        <v>2</v>
      </c>
      <c r="G73">
        <v>1</v>
      </c>
      <c r="H73" t="s">
        <v>7</v>
      </c>
      <c r="I73" s="2">
        <v>700000</v>
      </c>
      <c r="J73" s="2">
        <v>68000</v>
      </c>
      <c r="K73" s="2">
        <v>20000</v>
      </c>
      <c r="L73" s="2">
        <f>I73-SUM(J73:K73)</f>
        <v>612000</v>
      </c>
    </row>
    <row r="74" spans="1:12" x14ac:dyDescent="0.25">
      <c r="A74" t="str" cm="1">
        <f t="array" ref="A74">_xlfn.XLOOKUP(1,(Contratos!$B$2:$B$203=H74)*(Contratos!$C$2:$C$203=F74)*(Contratos!$D$2:$D$203=G74)*(DATE(D74,MATCH(C74,{"Enero";"Febrero";"Marzo";"Abril";"Mayo";"Junio";"Julio";"Agosto";"Septiembre";"Octubre";"Noviembre";"Diciembre"},0),1)&gt;=DATE(YEAR(Contratos!$E$2:$E$203),MONTH(Contratos!$E$2:$E$203),1))*(DATE(D74,MATCH(C74,{"Enero";"Febrero";"Marzo";"Abril";"Mayo";"Junio";"Julio";"Agosto";"Septiembre";"Octubre";"Noviembre";"Diciembre"},0),1)&lt;=DATE(YEAR(Contratos!$F$2:$F$203),MONTH(Contratos!$F$2:$F$203),1)),Contratos!$A$2:$A$203,"")</f>
        <v>0d8d157d-f9ab-4cd6-ac8a-7ed1a74a6746</v>
      </c>
      <c r="B74" t="s">
        <v>124</v>
      </c>
      <c r="C74" s="2" t="s">
        <v>47</v>
      </c>
      <c r="D74" s="12">
        <v>2025</v>
      </c>
      <c r="E74" s="9">
        <v>45835</v>
      </c>
      <c r="F74" t="s">
        <v>2</v>
      </c>
      <c r="G74">
        <v>2</v>
      </c>
      <c r="H74" t="s">
        <v>8</v>
      </c>
      <c r="I74" s="2">
        <v>662700</v>
      </c>
      <c r="J74" s="2">
        <v>64270</v>
      </c>
      <c r="K74" s="2">
        <v>20000</v>
      </c>
      <c r="L74" s="2">
        <f t="shared" ref="L74:L86" si="5">I74-SUM(J74:K74)</f>
        <v>578430</v>
      </c>
    </row>
    <row r="75" spans="1:12" x14ac:dyDescent="0.25">
      <c r="A75" t="str" cm="1">
        <f t="array" ref="A75">_xlfn.XLOOKUP(1,(Contratos!$B$2:$B$203=H75)*(Contratos!$C$2:$C$203=F75)*(Contratos!$D$2:$D$203=G75)*(DATE(D75,MATCH(C75,{"Enero";"Febrero";"Marzo";"Abril";"Mayo";"Junio";"Julio";"Agosto";"Septiembre";"Octubre";"Noviembre";"Diciembre"},0),1)&gt;=DATE(YEAR(Contratos!$E$2:$E$203),MONTH(Contratos!$E$2:$E$203),1))*(DATE(D75,MATCH(C75,{"Enero";"Febrero";"Marzo";"Abril";"Mayo";"Junio";"Julio";"Agosto";"Septiembre";"Octubre";"Noviembre";"Diciembre"},0),1)&lt;=DATE(YEAR(Contratos!$F$2:$F$203),MONTH(Contratos!$F$2:$F$203),1)),Contratos!$A$2:$A$203,"")</f>
        <v>8e4d74fa-ec72-4872-a04b-81c46e2fbd96</v>
      </c>
      <c r="B75" t="s">
        <v>124</v>
      </c>
      <c r="C75" s="2" t="s">
        <v>47</v>
      </c>
      <c r="D75" s="12">
        <v>2025</v>
      </c>
      <c r="E75" s="9">
        <v>45835</v>
      </c>
      <c r="F75" t="s">
        <v>2</v>
      </c>
      <c r="G75">
        <v>3</v>
      </c>
      <c r="H75" t="s">
        <v>9</v>
      </c>
      <c r="I75" s="2">
        <v>631200</v>
      </c>
      <c r="J75" s="2">
        <v>63120</v>
      </c>
      <c r="K75" s="2">
        <v>0</v>
      </c>
      <c r="L75" s="2">
        <f t="shared" si="5"/>
        <v>568080</v>
      </c>
    </row>
    <row r="76" spans="1:12" x14ac:dyDescent="0.25">
      <c r="A76" t="str" cm="1">
        <f t="array" ref="A76">_xlfn.XLOOKUP(1,(Contratos!$B$2:$B$203=H76)*(Contratos!$C$2:$C$203=F76)*(Contratos!$D$2:$D$203=G76)*(DATE(D76,MATCH(C76,{"Enero";"Febrero";"Marzo";"Abril";"Mayo";"Junio";"Julio";"Agosto";"Septiembre";"Octubre";"Noviembre";"Diciembre"},0),1)&gt;=DATE(YEAR(Contratos!$E$2:$E$203),MONTH(Contratos!$E$2:$E$203),1))*(DATE(D76,MATCH(C76,{"Enero";"Febrero";"Marzo";"Abril";"Mayo";"Junio";"Julio";"Agosto";"Septiembre";"Octubre";"Noviembre";"Diciembre"},0),1)&lt;=DATE(YEAR(Contratos!$F$2:$F$203),MONTH(Contratos!$F$2:$F$203),1)),Contratos!$A$2:$A$203,"")</f>
        <v>1c9d267f-bb28-462a-9b6c-10633cc45e36</v>
      </c>
      <c r="B76" t="s">
        <v>124</v>
      </c>
      <c r="C76" s="2" t="s">
        <v>47</v>
      </c>
      <c r="D76" s="12">
        <v>2025</v>
      </c>
      <c r="E76" s="9">
        <v>45835</v>
      </c>
      <c r="F76" t="s">
        <v>3</v>
      </c>
      <c r="G76">
        <v>1</v>
      </c>
      <c r="H76" t="s">
        <v>10</v>
      </c>
      <c r="I76" s="2">
        <v>732100</v>
      </c>
      <c r="J76" s="2">
        <v>71210</v>
      </c>
      <c r="K76" s="2">
        <v>20000</v>
      </c>
      <c r="L76" s="2">
        <f t="shared" si="5"/>
        <v>640890</v>
      </c>
    </row>
    <row r="77" spans="1:12" x14ac:dyDescent="0.25">
      <c r="A77" t="str" cm="1">
        <f t="array" ref="A77">_xlfn.XLOOKUP(1,(Contratos!$B$2:$B$203=H77)*(Contratos!$C$2:$C$203=F77)*(Contratos!$D$2:$D$203=G77)*(DATE(D77,MATCH(C77,{"Enero";"Febrero";"Marzo";"Abril";"Mayo";"Junio";"Julio";"Agosto";"Septiembre";"Octubre";"Noviembre";"Diciembre"},0),1)&gt;=DATE(YEAR(Contratos!$E$2:$E$203),MONTH(Contratos!$E$2:$E$203),1))*(DATE(D77,MATCH(C77,{"Enero";"Febrero";"Marzo";"Abril";"Mayo";"Junio";"Julio";"Agosto";"Septiembre";"Octubre";"Noviembre";"Diciembre"},0),1)&lt;=DATE(YEAR(Contratos!$F$2:$F$203),MONTH(Contratos!$F$2:$F$203),1)),Contratos!$A$2:$A$203,"")</f>
        <v>9d4e93ec-8103-4ec7-94d4-480e0647a578</v>
      </c>
      <c r="B77" t="s">
        <v>124</v>
      </c>
      <c r="C77" s="2" t="s">
        <v>47</v>
      </c>
      <c r="D77" s="12">
        <v>2025</v>
      </c>
      <c r="E77" s="9">
        <v>45835</v>
      </c>
      <c r="F77" t="s">
        <v>3</v>
      </c>
      <c r="G77">
        <v>2</v>
      </c>
      <c r="H77" t="s">
        <v>11</v>
      </c>
      <c r="I77" s="2">
        <v>688000</v>
      </c>
      <c r="J77" s="2">
        <v>66800</v>
      </c>
      <c r="K77" s="2">
        <v>20000</v>
      </c>
      <c r="L77" s="2">
        <f t="shared" si="5"/>
        <v>601200</v>
      </c>
    </row>
    <row r="78" spans="1:12" x14ac:dyDescent="0.25">
      <c r="A78" t="str" cm="1">
        <f t="array" ref="A78">_xlfn.XLOOKUP(1,(Contratos!$B$2:$B$203=H78)*(Contratos!$C$2:$C$203=F78)*(Contratos!$D$2:$D$203=G78)*(DATE(D78,MATCH(C78,{"Enero";"Febrero";"Marzo";"Abril";"Mayo";"Junio";"Julio";"Agosto";"Septiembre";"Octubre";"Noviembre";"Diciembre"},0),1)&gt;=DATE(YEAR(Contratos!$E$2:$E$203),MONTH(Contratos!$E$2:$E$203),1))*(DATE(D78,MATCH(C78,{"Enero";"Febrero";"Marzo";"Abril";"Mayo";"Junio";"Julio";"Agosto";"Septiembre";"Octubre";"Noviembre";"Diciembre"},0),1)&lt;=DATE(YEAR(Contratos!$F$2:$F$203),MONTH(Contratos!$F$2:$F$203),1)),Contratos!$A$2:$A$203,"")</f>
        <v>652336e7-90e6-4346-a1db-9c99b994afe6</v>
      </c>
      <c r="B78" t="s">
        <v>124</v>
      </c>
      <c r="C78" s="2" t="s">
        <v>47</v>
      </c>
      <c r="D78" s="12">
        <v>2025</v>
      </c>
      <c r="E78" s="9">
        <v>45835</v>
      </c>
      <c r="F78" t="s">
        <v>3</v>
      </c>
      <c r="G78">
        <v>3</v>
      </c>
      <c r="H78" t="s">
        <v>12</v>
      </c>
      <c r="I78" s="2">
        <v>632200</v>
      </c>
      <c r="J78" s="2">
        <v>61220</v>
      </c>
      <c r="K78" s="2">
        <v>20000</v>
      </c>
      <c r="L78" s="2">
        <f t="shared" si="5"/>
        <v>550980</v>
      </c>
    </row>
    <row r="79" spans="1:12" x14ac:dyDescent="0.25">
      <c r="A79" t="str" cm="1">
        <f t="array" ref="A79">_xlfn.XLOOKUP(1,(Contratos!$B$2:$B$203=H79)*(Contratos!$C$2:$C$203=F79)*(Contratos!$D$2:$D$203=G79)*(DATE(D79,MATCH(C79,{"Enero";"Febrero";"Marzo";"Abril";"Mayo";"Junio";"Julio";"Agosto";"Septiembre";"Octubre";"Noviembre";"Diciembre"},0),1)&gt;=DATE(YEAR(Contratos!$E$2:$E$203),MONTH(Contratos!$E$2:$E$203),1))*(DATE(D79,MATCH(C79,{"Enero";"Febrero";"Marzo";"Abril";"Mayo";"Junio";"Julio";"Agosto";"Septiembre";"Octubre";"Noviembre";"Diciembre"},0),1)&lt;=DATE(YEAR(Contratos!$F$2:$F$203),MONTH(Contratos!$F$2:$F$203),1)),Contratos!$A$2:$A$203,"")</f>
        <v>420d1c8b-349d-466e-9369-1ab30c465800</v>
      </c>
      <c r="B79" t="s">
        <v>124</v>
      </c>
      <c r="C79" s="2" t="s">
        <v>47</v>
      </c>
      <c r="D79" s="12">
        <v>2025</v>
      </c>
      <c r="E79" s="9">
        <v>45835</v>
      </c>
      <c r="F79" t="s">
        <v>4</v>
      </c>
      <c r="G79">
        <v>1</v>
      </c>
      <c r="H79" t="s">
        <v>13</v>
      </c>
      <c r="I79" s="2">
        <v>820000</v>
      </c>
      <c r="J79" s="2">
        <v>80000</v>
      </c>
      <c r="K79" s="2">
        <v>20000</v>
      </c>
      <c r="L79" s="2">
        <f t="shared" si="5"/>
        <v>720000</v>
      </c>
    </row>
    <row r="80" spans="1:12" x14ac:dyDescent="0.25">
      <c r="A80" t="str" cm="1">
        <f t="array" ref="A80">_xlfn.XLOOKUP(1,(Contratos!$B$2:$B$203=H80)*(Contratos!$C$2:$C$203=F80)*(Contratos!$D$2:$D$203=G80)*(DATE(D80,MATCH(C80,{"Enero";"Febrero";"Marzo";"Abril";"Mayo";"Junio";"Julio";"Agosto";"Septiembre";"Octubre";"Noviembre";"Diciembre"},0),1)&gt;=DATE(YEAR(Contratos!$E$2:$E$203),MONTH(Contratos!$E$2:$E$203),1))*(DATE(D80,MATCH(C80,{"Enero";"Febrero";"Marzo";"Abril";"Mayo";"Junio";"Julio";"Agosto";"Septiembre";"Octubre";"Noviembre";"Diciembre"},0),1)&lt;=DATE(YEAR(Contratos!$F$2:$F$203),MONTH(Contratos!$F$2:$F$203),1)),Contratos!$A$2:$A$203,"")</f>
        <v>4c0d2b4b-0d3e-42de-af57-9305df4b2c02</v>
      </c>
      <c r="B80" t="s">
        <v>124</v>
      </c>
      <c r="C80" s="2" t="s">
        <v>47</v>
      </c>
      <c r="D80" s="12">
        <v>2025</v>
      </c>
      <c r="E80" s="9">
        <v>45835</v>
      </c>
      <c r="F80" t="s">
        <v>4</v>
      </c>
      <c r="G80">
        <v>2</v>
      </c>
      <c r="H80" t="s">
        <v>14</v>
      </c>
      <c r="I80" s="2">
        <v>764000</v>
      </c>
      <c r="J80" s="2">
        <v>74400</v>
      </c>
      <c r="K80" s="2">
        <v>20000</v>
      </c>
      <c r="L80" s="2">
        <f t="shared" si="5"/>
        <v>669600</v>
      </c>
    </row>
    <row r="81" spans="1:12" x14ac:dyDescent="0.25">
      <c r="A81" t="str" cm="1">
        <f t="array" ref="A81">_xlfn.XLOOKUP(1,(Contratos!$B$2:$B$203=H81)*(Contratos!$C$2:$C$203=F81)*(Contratos!$D$2:$D$203=G81)*(DATE(D81,MATCH(C81,{"Enero";"Febrero";"Marzo";"Abril";"Mayo";"Junio";"Julio";"Agosto";"Septiembre";"Octubre";"Noviembre";"Diciembre"},0),1)&gt;=DATE(YEAR(Contratos!$E$2:$E$203),MONTH(Contratos!$E$2:$E$203),1))*(DATE(D81,MATCH(C81,{"Enero";"Febrero";"Marzo";"Abril";"Mayo";"Junio";"Julio";"Agosto";"Septiembre";"Octubre";"Noviembre";"Diciembre"},0),1)&lt;=DATE(YEAR(Contratos!$F$2:$F$203),MONTH(Contratos!$F$2:$F$203),1)),Contratos!$A$2:$A$203,"")</f>
        <v>ec860adc-defd-41d8-a89b-21d87b7ea128</v>
      </c>
      <c r="B81" t="s">
        <v>124</v>
      </c>
      <c r="C81" s="2" t="s">
        <v>47</v>
      </c>
      <c r="D81" s="12">
        <v>2025</v>
      </c>
      <c r="E81" s="9">
        <v>45835</v>
      </c>
      <c r="F81" t="s">
        <v>4</v>
      </c>
      <c r="G81">
        <v>3</v>
      </c>
      <c r="H81" t="s">
        <v>15</v>
      </c>
      <c r="I81" s="2">
        <v>700000</v>
      </c>
      <c r="J81" s="2">
        <v>68000</v>
      </c>
      <c r="K81" s="2">
        <v>20000</v>
      </c>
      <c r="L81" s="2">
        <f t="shared" si="5"/>
        <v>612000</v>
      </c>
    </row>
    <row r="82" spans="1:12" x14ac:dyDescent="0.25">
      <c r="A82" t="str" cm="1">
        <f t="array" ref="A82">_xlfn.XLOOKUP(1,(Contratos!$B$2:$B$203=H82)*(Contratos!$C$2:$C$203=F82)*(Contratos!$D$2:$D$203=G82)*(DATE(D82,MATCH(C82,{"Enero";"Febrero";"Marzo";"Abril";"Mayo";"Junio";"Julio";"Agosto";"Septiembre";"Octubre";"Noviembre";"Diciembre"},0),1)&gt;=DATE(YEAR(Contratos!$E$2:$E$203),MONTH(Contratos!$E$2:$E$203),1))*(DATE(D82,MATCH(C82,{"Enero";"Febrero";"Marzo";"Abril";"Mayo";"Junio";"Julio";"Agosto";"Septiembre";"Octubre";"Noviembre";"Diciembre"},0),1)&lt;=DATE(YEAR(Contratos!$F$2:$F$203),MONTH(Contratos!$F$2:$F$203),1)),Contratos!$A$2:$A$203,"")</f>
        <v>f2b5f4e7-1f87-4e12-8e0e-4963e89c092a</v>
      </c>
      <c r="B82" t="s">
        <v>124</v>
      </c>
      <c r="C82" s="2" t="s">
        <v>47</v>
      </c>
      <c r="D82" s="12">
        <v>2025</v>
      </c>
      <c r="E82" s="9">
        <v>45835</v>
      </c>
      <c r="F82" t="s">
        <v>4</v>
      </c>
      <c r="G82">
        <v>4</v>
      </c>
      <c r="H82" t="s">
        <v>16</v>
      </c>
      <c r="I82" s="2">
        <v>620000</v>
      </c>
      <c r="J82" s="2">
        <v>60000</v>
      </c>
      <c r="K82" s="2">
        <v>20000</v>
      </c>
      <c r="L82" s="2">
        <f t="shared" si="5"/>
        <v>540000</v>
      </c>
    </row>
    <row r="83" spans="1:12" x14ac:dyDescent="0.25">
      <c r="A83" t="str" cm="1">
        <f t="array" ref="A83">_xlfn.XLOOKUP(1,(Contratos!$B$2:$B$203=H83)*(Contratos!$C$2:$C$203=F83)*(Contratos!$D$2:$D$203=G83)*(DATE(D83,MATCH(C83,{"Enero";"Febrero";"Marzo";"Abril";"Mayo";"Junio";"Julio";"Agosto";"Septiembre";"Octubre";"Noviembre";"Diciembre"},0),1)&gt;=DATE(YEAR(Contratos!$E$2:$E$203),MONTH(Contratos!$E$2:$E$203),1))*(DATE(D83,MATCH(C83,{"Enero";"Febrero";"Marzo";"Abril";"Mayo";"Junio";"Julio";"Agosto";"Septiembre";"Octubre";"Noviembre";"Diciembre"},0),1)&lt;=DATE(YEAR(Contratos!$F$2:$F$203),MONTH(Contratos!$F$2:$F$203),1)),Contratos!$A$2:$A$203,"")</f>
        <v>16fbb6a2-d237-4dd2-8a6d-7bd76aa8645c</v>
      </c>
      <c r="B83" t="s">
        <v>124</v>
      </c>
      <c r="C83" s="2" t="s">
        <v>47</v>
      </c>
      <c r="D83" s="12">
        <v>2025</v>
      </c>
      <c r="E83" s="9">
        <v>45835</v>
      </c>
      <c r="F83" t="s">
        <v>5</v>
      </c>
      <c r="G83">
        <v>1</v>
      </c>
      <c r="H83" t="s">
        <v>17</v>
      </c>
      <c r="I83" s="2">
        <v>673280</v>
      </c>
      <c r="J83" s="2">
        <v>65328</v>
      </c>
      <c r="K83" s="2">
        <v>20000</v>
      </c>
      <c r="L83" s="2">
        <f t="shared" si="5"/>
        <v>587952</v>
      </c>
    </row>
    <row r="84" spans="1:12" x14ac:dyDescent="0.25">
      <c r="A84" t="str" cm="1">
        <f t="array" ref="A84">_xlfn.XLOOKUP(1,(Contratos!$B$2:$B$203=H84)*(Contratos!$C$2:$C$203=F84)*(Contratos!$D$2:$D$203=G84)*(DATE(D84,MATCH(C84,{"Enero";"Febrero";"Marzo";"Abril";"Mayo";"Junio";"Julio";"Agosto";"Septiembre";"Octubre";"Noviembre";"Diciembre"},0),1)&gt;=DATE(YEAR(Contratos!$E$2:$E$203),MONTH(Contratos!$E$2:$E$203),1))*(DATE(D84,MATCH(C84,{"Enero";"Febrero";"Marzo";"Abril";"Mayo";"Junio";"Julio";"Agosto";"Septiembre";"Octubre";"Noviembre";"Diciembre"},0),1)&lt;=DATE(YEAR(Contratos!$F$2:$F$203),MONTH(Contratos!$F$2:$F$203),1)),Contratos!$A$2:$A$203,"")</f>
        <v>10424221-9e53-4f28-aea8-3549e2e43b87</v>
      </c>
      <c r="B84" t="s">
        <v>124</v>
      </c>
      <c r="C84" s="2" t="s">
        <v>47</v>
      </c>
      <c r="D84" s="12">
        <v>2025</v>
      </c>
      <c r="E84" s="9">
        <v>45835</v>
      </c>
      <c r="F84" t="s">
        <v>5</v>
      </c>
      <c r="G84">
        <v>2</v>
      </c>
      <c r="H84" t="s">
        <v>18</v>
      </c>
      <c r="I84" s="2">
        <v>670000</v>
      </c>
      <c r="J84" s="2">
        <v>65000</v>
      </c>
      <c r="K84" s="2">
        <v>20000</v>
      </c>
      <c r="L84" s="2">
        <f t="shared" si="5"/>
        <v>585000</v>
      </c>
    </row>
    <row r="85" spans="1:12" x14ac:dyDescent="0.25">
      <c r="A85" t="str" cm="1">
        <f t="array" ref="A85">_xlfn.XLOOKUP(1,(Contratos!$B$2:$B$203=H85)*(Contratos!$C$2:$C$203=F85)*(Contratos!$D$2:$D$203=G85)*(DATE(D85,MATCH(C85,{"Enero";"Febrero";"Marzo";"Abril";"Mayo";"Junio";"Julio";"Agosto";"Septiembre";"Octubre";"Noviembre";"Diciembre"},0),1)&gt;=DATE(YEAR(Contratos!$E$2:$E$203),MONTH(Contratos!$E$2:$E$203),1))*(DATE(D85,MATCH(C85,{"Enero";"Febrero";"Marzo";"Abril";"Mayo";"Junio";"Julio";"Agosto";"Septiembre";"Octubre";"Noviembre";"Diciembre"},0),1)&lt;=DATE(YEAR(Contratos!$F$2:$F$203),MONTH(Contratos!$F$2:$F$203),1)),Contratos!$A$2:$A$203,"")</f>
        <v>bd3eeb6f-a14f-42cf-9deb-94f16f5eee70</v>
      </c>
      <c r="B85" t="s">
        <v>124</v>
      </c>
      <c r="C85" s="2" t="s">
        <v>47</v>
      </c>
      <c r="D85" s="12">
        <v>2025</v>
      </c>
      <c r="E85" s="9">
        <v>45835</v>
      </c>
      <c r="F85" t="s">
        <v>5</v>
      </c>
      <c r="G85">
        <v>3</v>
      </c>
      <c r="H85" t="s">
        <v>19</v>
      </c>
      <c r="I85" s="2">
        <v>650000</v>
      </c>
      <c r="J85" s="2">
        <v>63000</v>
      </c>
      <c r="K85" s="2">
        <v>20000</v>
      </c>
      <c r="L85" s="2">
        <f t="shared" si="5"/>
        <v>567000</v>
      </c>
    </row>
    <row r="86" spans="1:12" x14ac:dyDescent="0.25">
      <c r="A86" t="str" cm="1">
        <f t="array" ref="A86">_xlfn.XLOOKUP(1,(Contratos!$B$2:$B$203=H86)*(Contratos!$C$2:$C$203=F86)*(Contratos!$D$2:$D$203=G86)*(DATE(D86,MATCH(C86,{"Enero";"Febrero";"Marzo";"Abril";"Mayo";"Junio";"Julio";"Agosto";"Septiembre";"Octubre";"Noviembre";"Diciembre"},0),1)&gt;=DATE(YEAR(Contratos!$E$2:$E$203),MONTH(Contratos!$E$2:$E$203),1))*(DATE(D86,MATCH(C86,{"Enero";"Febrero";"Marzo";"Abril";"Mayo";"Junio";"Julio";"Agosto";"Septiembre";"Octubre";"Noviembre";"Diciembre"},0),1)&lt;=DATE(YEAR(Contratos!$F$2:$F$203),MONTH(Contratos!$F$2:$F$203),1)),Contratos!$A$2:$A$203,"")</f>
        <v>8dc982a8-8e30-4eb7-905c-fb55c4175ca4</v>
      </c>
      <c r="B86" t="s">
        <v>124</v>
      </c>
      <c r="C86" s="2" t="s">
        <v>47</v>
      </c>
      <c r="D86" s="12">
        <v>2025</v>
      </c>
      <c r="E86" s="9">
        <v>45835</v>
      </c>
      <c r="F86" t="s">
        <v>5</v>
      </c>
      <c r="G86">
        <v>4</v>
      </c>
      <c r="H86" t="s">
        <v>20</v>
      </c>
      <c r="I86" s="2">
        <v>600000</v>
      </c>
      <c r="J86" s="2">
        <v>58000</v>
      </c>
      <c r="K86" s="2">
        <v>20000</v>
      </c>
      <c r="L86" s="2">
        <f t="shared" si="5"/>
        <v>522000</v>
      </c>
    </row>
    <row r="87" spans="1:12" x14ac:dyDescent="0.25">
      <c r="A87" t="str" cm="1">
        <f t="array" ref="A87">_xlfn.XLOOKUP(1,(Contratos!$B$2:$B$203=H87)*(Contratos!$C$2:$C$203=F87)*(Contratos!$D$2:$D$203=G87)*(DATE(D87,MATCH(C87,{"Enero";"Febrero";"Marzo";"Abril";"Mayo";"Junio";"Julio";"Agosto";"Septiembre";"Octubre";"Noviembre";"Diciembre"},0),1)&gt;=DATE(YEAR(Contratos!$E$2:$E$203),MONTH(Contratos!$E$2:$E$203),1))*(DATE(D87,MATCH(C87,{"Enero";"Febrero";"Marzo";"Abril";"Mayo";"Junio";"Julio";"Agosto";"Septiembre";"Octubre";"Noviembre";"Diciembre"},0),1)&lt;=DATE(YEAR(Contratos!$F$2:$F$203),MONTH(Contratos!$F$2:$F$203),1)),Contratos!$A$2:$A$203,"")</f>
        <v>0f257e4c-3331-4e0e-869e-42c5a332a2a1</v>
      </c>
      <c r="B87" t="s">
        <v>124</v>
      </c>
      <c r="C87" s="2" t="s">
        <v>48</v>
      </c>
      <c r="D87" s="12">
        <v>2025</v>
      </c>
      <c r="E87" s="9">
        <v>45846</v>
      </c>
      <c r="F87" t="s">
        <v>2</v>
      </c>
      <c r="G87">
        <v>1</v>
      </c>
      <c r="H87" t="s">
        <v>7</v>
      </c>
      <c r="I87" s="2">
        <v>700000</v>
      </c>
      <c r="J87" s="2">
        <v>68000</v>
      </c>
      <c r="K87" s="2">
        <v>20000</v>
      </c>
      <c r="L87" s="2">
        <f>I87-SUM(J87:K87)</f>
        <v>612000</v>
      </c>
    </row>
    <row r="88" spans="1:12" x14ac:dyDescent="0.25">
      <c r="A88" t="str" cm="1">
        <f t="array" ref="A88">_xlfn.XLOOKUP(1,(Contratos!$B$2:$B$203=H88)*(Contratos!$C$2:$C$203=F88)*(Contratos!$D$2:$D$203=G88)*(DATE(D88,MATCH(C88,{"Enero";"Febrero";"Marzo";"Abril";"Mayo";"Junio";"Julio";"Agosto";"Septiembre";"Octubre";"Noviembre";"Diciembre"},0),1)&gt;=DATE(YEAR(Contratos!$E$2:$E$203),MONTH(Contratos!$E$2:$E$203),1))*(DATE(D88,MATCH(C88,{"Enero";"Febrero";"Marzo";"Abril";"Mayo";"Junio";"Julio";"Agosto";"Septiembre";"Octubre";"Noviembre";"Diciembre"},0),1)&lt;=DATE(YEAR(Contratos!$F$2:$F$203),MONTH(Contratos!$F$2:$F$203),1)),Contratos!$A$2:$A$203,"")</f>
        <v>0d8d157d-f9ab-4cd6-ac8a-7ed1a74a6746</v>
      </c>
      <c r="B88" t="s">
        <v>124</v>
      </c>
      <c r="C88" s="2" t="s">
        <v>48</v>
      </c>
      <c r="D88" s="12">
        <v>2025</v>
      </c>
      <c r="E88" s="9">
        <v>45846</v>
      </c>
      <c r="F88" t="s">
        <v>2</v>
      </c>
      <c r="G88">
        <v>2</v>
      </c>
      <c r="H88" t="s">
        <v>8</v>
      </c>
      <c r="I88" s="2">
        <v>662700</v>
      </c>
      <c r="J88" s="2">
        <v>64270</v>
      </c>
      <c r="K88" s="2">
        <v>20000</v>
      </c>
      <c r="L88" s="2">
        <f t="shared" ref="L88:L98" si="6">I88-SUM(J88:K88)</f>
        <v>578430</v>
      </c>
    </row>
    <row r="89" spans="1:12" x14ac:dyDescent="0.25">
      <c r="A89" t="str" cm="1">
        <f t="array" ref="A89">_xlfn.XLOOKUP(1,(Contratos!$B$2:$B$203=H89)*(Contratos!$C$2:$C$203=F89)*(Contratos!$D$2:$D$203=G89)*(DATE(D89,MATCH(C89,{"Enero";"Febrero";"Marzo";"Abril";"Mayo";"Junio";"Julio";"Agosto";"Septiembre";"Octubre";"Noviembre";"Diciembre"},0),1)&gt;=DATE(YEAR(Contratos!$E$2:$E$203),MONTH(Contratos!$E$2:$E$203),1))*(DATE(D89,MATCH(C89,{"Enero";"Febrero";"Marzo";"Abril";"Mayo";"Junio";"Julio";"Agosto";"Septiembre";"Octubre";"Noviembre";"Diciembre"},0),1)&lt;=DATE(YEAR(Contratos!$F$2:$F$203),MONTH(Contratos!$F$2:$F$203),1)),Contratos!$A$2:$A$203,"")</f>
        <v>3222d3e6-2b5b-4103-bc55-29e39c33ca84</v>
      </c>
      <c r="B89" t="s">
        <v>124</v>
      </c>
      <c r="C89" s="2" t="s">
        <v>48</v>
      </c>
      <c r="D89" s="12">
        <v>2025</v>
      </c>
      <c r="E89" s="9">
        <v>45846</v>
      </c>
      <c r="F89" t="s">
        <v>2</v>
      </c>
      <c r="G89">
        <v>3</v>
      </c>
      <c r="H89" t="s">
        <v>9</v>
      </c>
      <c r="I89" s="2">
        <v>631200</v>
      </c>
      <c r="J89" s="2">
        <v>63120</v>
      </c>
      <c r="K89" s="2">
        <v>0</v>
      </c>
      <c r="L89" s="2">
        <f t="shared" si="6"/>
        <v>568080</v>
      </c>
    </row>
    <row r="90" spans="1:12" x14ac:dyDescent="0.25">
      <c r="A90" t="str" cm="1">
        <f t="array" ref="A90">_xlfn.XLOOKUP(1,(Contratos!$B$2:$B$203=H90)*(Contratos!$C$2:$C$203=F90)*(Contratos!$D$2:$D$203=G90)*(DATE(D90,MATCH(C90,{"Enero";"Febrero";"Marzo";"Abril";"Mayo";"Junio";"Julio";"Agosto";"Septiembre";"Octubre";"Noviembre";"Diciembre"},0),1)&gt;=DATE(YEAR(Contratos!$E$2:$E$203),MONTH(Contratos!$E$2:$E$203),1))*(DATE(D90,MATCH(C90,{"Enero";"Febrero";"Marzo";"Abril";"Mayo";"Junio";"Julio";"Agosto";"Septiembre";"Octubre";"Noviembre";"Diciembre"},0),1)&lt;=DATE(YEAR(Contratos!$F$2:$F$203),MONTH(Contratos!$F$2:$F$203),1)),Contratos!$A$2:$A$203,"")</f>
        <v>e725ef85-824a-4f9c-b7c6-445df4612ef0</v>
      </c>
      <c r="B90" t="s">
        <v>124</v>
      </c>
      <c r="C90" s="2" t="s">
        <v>48</v>
      </c>
      <c r="D90" s="12">
        <v>2025</v>
      </c>
      <c r="E90" s="9">
        <v>45846</v>
      </c>
      <c r="F90" t="s">
        <v>3</v>
      </c>
      <c r="G90">
        <v>2</v>
      </c>
      <c r="H90" t="s">
        <v>11</v>
      </c>
      <c r="I90" s="2">
        <v>688000</v>
      </c>
      <c r="J90" s="2">
        <v>66800</v>
      </c>
      <c r="K90" s="2">
        <v>20000</v>
      </c>
      <c r="L90" s="2">
        <f t="shared" si="6"/>
        <v>601200</v>
      </c>
    </row>
    <row r="91" spans="1:12" x14ac:dyDescent="0.25">
      <c r="A91" t="str" cm="1">
        <f t="array" ref="A91">_xlfn.XLOOKUP(1,(Contratos!$B$2:$B$203=H91)*(Contratos!$C$2:$C$203=F91)*(Contratos!$D$2:$D$203=G91)*(DATE(D91,MATCH(C91,{"Enero";"Febrero";"Marzo";"Abril";"Mayo";"Junio";"Julio";"Agosto";"Septiembre";"Octubre";"Noviembre";"Diciembre"},0),1)&gt;=DATE(YEAR(Contratos!$E$2:$E$203),MONTH(Contratos!$E$2:$E$203),1))*(DATE(D91,MATCH(C91,{"Enero";"Febrero";"Marzo";"Abril";"Mayo";"Junio";"Julio";"Agosto";"Septiembre";"Octubre";"Noviembre";"Diciembre"},0),1)&lt;=DATE(YEAR(Contratos!$F$2:$F$203),MONTH(Contratos!$F$2:$F$203),1)),Contratos!$A$2:$A$203,"")</f>
        <v>652336e7-90e6-4346-a1db-9c99b994afe6</v>
      </c>
      <c r="B91" t="s">
        <v>124</v>
      </c>
      <c r="C91" s="2" t="s">
        <v>48</v>
      </c>
      <c r="D91" s="12">
        <v>2025</v>
      </c>
      <c r="E91" s="9">
        <v>45846</v>
      </c>
      <c r="F91" t="s">
        <v>3</v>
      </c>
      <c r="G91">
        <v>3</v>
      </c>
      <c r="H91" t="s">
        <v>12</v>
      </c>
      <c r="I91" s="2">
        <v>632200</v>
      </c>
      <c r="J91" s="2">
        <v>61220</v>
      </c>
      <c r="K91" s="2">
        <v>20000</v>
      </c>
      <c r="L91" s="2">
        <f t="shared" si="6"/>
        <v>550980</v>
      </c>
    </row>
    <row r="92" spans="1:12" x14ac:dyDescent="0.25">
      <c r="A92" t="str" cm="1">
        <f t="array" ref="A92">_xlfn.XLOOKUP(1,(Contratos!$B$2:$B$203=H92)*(Contratos!$C$2:$C$203=F92)*(Contratos!$D$2:$D$203=G92)*(DATE(D92,MATCH(C92,{"Enero";"Febrero";"Marzo";"Abril";"Mayo";"Junio";"Julio";"Agosto";"Septiembre";"Octubre";"Noviembre";"Diciembre"},0),1)&gt;=DATE(YEAR(Contratos!$E$2:$E$203),MONTH(Contratos!$E$2:$E$203),1))*(DATE(D92,MATCH(C92,{"Enero";"Febrero";"Marzo";"Abril";"Mayo";"Junio";"Julio";"Agosto";"Septiembre";"Octubre";"Noviembre";"Diciembre"},0),1)&lt;=DATE(YEAR(Contratos!$F$2:$F$203),MONTH(Contratos!$F$2:$F$203),1)),Contratos!$A$2:$A$203,"")</f>
        <v>420d1c8b-349d-466e-9369-1ab30c465800</v>
      </c>
      <c r="B92" t="s">
        <v>124</v>
      </c>
      <c r="C92" s="2" t="s">
        <v>48</v>
      </c>
      <c r="D92" s="12">
        <v>2025</v>
      </c>
      <c r="E92" s="9">
        <v>45846</v>
      </c>
      <c r="F92" t="s">
        <v>4</v>
      </c>
      <c r="G92">
        <v>1</v>
      </c>
      <c r="H92" t="s">
        <v>13</v>
      </c>
      <c r="I92" s="2">
        <v>820000</v>
      </c>
      <c r="J92" s="2">
        <v>80000</v>
      </c>
      <c r="K92" s="2">
        <v>20000</v>
      </c>
      <c r="L92" s="2">
        <f t="shared" si="6"/>
        <v>720000</v>
      </c>
    </row>
    <row r="93" spans="1:12" x14ac:dyDescent="0.25">
      <c r="A93" t="str" cm="1">
        <f t="array" ref="A93">_xlfn.XLOOKUP(1,(Contratos!$B$2:$B$203=H93)*(Contratos!$C$2:$C$203=F93)*(Contratos!$D$2:$D$203=G93)*(DATE(D93,MATCH(C93,{"Enero";"Febrero";"Marzo";"Abril";"Mayo";"Junio";"Julio";"Agosto";"Septiembre";"Octubre";"Noviembre";"Diciembre"},0),1)&gt;=DATE(YEAR(Contratos!$E$2:$E$203),MONTH(Contratos!$E$2:$E$203),1))*(DATE(D93,MATCH(C93,{"Enero";"Febrero";"Marzo";"Abril";"Mayo";"Junio";"Julio";"Agosto";"Septiembre";"Octubre";"Noviembre";"Diciembre"},0),1)&lt;=DATE(YEAR(Contratos!$F$2:$F$203),MONTH(Contratos!$F$2:$F$203),1)),Contratos!$A$2:$A$203,"")</f>
        <v>4c0d2b4b-0d3e-42de-af57-9305df4b2c02</v>
      </c>
      <c r="B93" t="s">
        <v>124</v>
      </c>
      <c r="C93" s="2" t="s">
        <v>48</v>
      </c>
      <c r="D93" s="12">
        <v>2025</v>
      </c>
      <c r="E93" s="9">
        <v>45846</v>
      </c>
      <c r="F93" t="s">
        <v>4</v>
      </c>
      <c r="G93">
        <v>2</v>
      </c>
      <c r="H93" t="s">
        <v>14</v>
      </c>
      <c r="I93" s="2">
        <v>764000</v>
      </c>
      <c r="J93" s="2">
        <v>74400</v>
      </c>
      <c r="K93" s="2">
        <v>20000</v>
      </c>
      <c r="L93" s="2">
        <f t="shared" si="6"/>
        <v>669600</v>
      </c>
    </row>
    <row r="94" spans="1:12" x14ac:dyDescent="0.25">
      <c r="A94" t="str" cm="1">
        <f t="array" ref="A94">_xlfn.XLOOKUP(1,(Contratos!$B$2:$B$203=H94)*(Contratos!$C$2:$C$203=F94)*(Contratos!$D$2:$D$203=G94)*(DATE(D94,MATCH(C94,{"Enero";"Febrero";"Marzo";"Abril";"Mayo";"Junio";"Julio";"Agosto";"Septiembre";"Octubre";"Noviembre";"Diciembre"},0),1)&gt;=DATE(YEAR(Contratos!$E$2:$E$203),MONTH(Contratos!$E$2:$E$203),1))*(DATE(D94,MATCH(C94,{"Enero";"Febrero";"Marzo";"Abril";"Mayo";"Junio";"Julio";"Agosto";"Septiembre";"Octubre";"Noviembre";"Diciembre"},0),1)&lt;=DATE(YEAR(Contratos!$F$2:$F$203),MONTH(Contratos!$F$2:$F$203),1)),Contratos!$A$2:$A$203,"")</f>
        <v>ae88cdb7-93b0-42cd-bda5-e4576643e9c7</v>
      </c>
      <c r="B94" t="s">
        <v>124</v>
      </c>
      <c r="C94" s="2" t="s">
        <v>48</v>
      </c>
      <c r="D94" s="12">
        <v>2025</v>
      </c>
      <c r="E94" s="9">
        <v>45846</v>
      </c>
      <c r="F94" t="s">
        <v>4</v>
      </c>
      <c r="G94">
        <v>3</v>
      </c>
      <c r="H94" t="s">
        <v>15</v>
      </c>
      <c r="I94" s="2">
        <v>700000</v>
      </c>
      <c r="J94" s="2">
        <v>68000</v>
      </c>
      <c r="K94" s="2">
        <v>20000</v>
      </c>
      <c r="L94" s="2">
        <f t="shared" si="6"/>
        <v>612000</v>
      </c>
    </row>
    <row r="95" spans="1:12" x14ac:dyDescent="0.25">
      <c r="A95" t="str" cm="1">
        <f t="array" ref="A95">_xlfn.XLOOKUP(1,(Contratos!$B$2:$B$203=H95)*(Contratos!$C$2:$C$203=F95)*(Contratos!$D$2:$D$203=G95)*(DATE(D95,MATCH(C95,{"Enero";"Febrero";"Marzo";"Abril";"Mayo";"Junio";"Julio";"Agosto";"Septiembre";"Octubre";"Noviembre";"Diciembre"},0),1)&gt;=DATE(YEAR(Contratos!$E$2:$E$203),MONTH(Contratos!$E$2:$E$203),1))*(DATE(D95,MATCH(C95,{"Enero";"Febrero";"Marzo";"Abril";"Mayo";"Junio";"Julio";"Agosto";"Septiembre";"Octubre";"Noviembre";"Diciembre"},0),1)&lt;=DATE(YEAR(Contratos!$F$2:$F$203),MONTH(Contratos!$F$2:$F$203),1)),Contratos!$A$2:$A$203,"")</f>
        <v>01fb67ad-1898-47db-a814-5a658a723a89</v>
      </c>
      <c r="B95" t="s">
        <v>124</v>
      </c>
      <c r="C95" s="2" t="s">
        <v>48</v>
      </c>
      <c r="D95" s="12">
        <v>2025</v>
      </c>
      <c r="E95" s="9">
        <v>45846</v>
      </c>
      <c r="F95" t="s">
        <v>5</v>
      </c>
      <c r="G95">
        <v>1</v>
      </c>
      <c r="H95" t="s">
        <v>17</v>
      </c>
      <c r="I95" s="2">
        <v>673280</v>
      </c>
      <c r="J95" s="2">
        <v>65328</v>
      </c>
      <c r="K95" s="2">
        <v>20000</v>
      </c>
      <c r="L95" s="2">
        <f t="shared" si="6"/>
        <v>587952</v>
      </c>
    </row>
    <row r="96" spans="1:12" x14ac:dyDescent="0.25">
      <c r="A96" t="str" cm="1">
        <f t="array" ref="A96">_xlfn.XLOOKUP(1,(Contratos!$B$2:$B$203=H96)*(Contratos!$C$2:$C$203=F96)*(Contratos!$D$2:$D$203=G96)*(DATE(D96,MATCH(C96,{"Enero";"Febrero";"Marzo";"Abril";"Mayo";"Junio";"Julio";"Agosto";"Septiembre";"Octubre";"Noviembre";"Diciembre"},0),1)&gt;=DATE(YEAR(Contratos!$E$2:$E$203),MONTH(Contratos!$E$2:$E$203),1))*(DATE(D96,MATCH(C96,{"Enero";"Febrero";"Marzo";"Abril";"Mayo";"Junio";"Julio";"Agosto";"Septiembre";"Octubre";"Noviembre";"Diciembre"},0),1)&lt;=DATE(YEAR(Contratos!$F$2:$F$203),MONTH(Contratos!$F$2:$F$203),1)),Contratos!$A$2:$A$203,"")</f>
        <v>10424221-9e53-4f28-aea8-3549e2e43b87</v>
      </c>
      <c r="B96" t="s">
        <v>124</v>
      </c>
      <c r="C96" s="2" t="s">
        <v>48</v>
      </c>
      <c r="D96" s="12">
        <v>2025</v>
      </c>
      <c r="E96" s="9">
        <v>45846</v>
      </c>
      <c r="F96" t="s">
        <v>5</v>
      </c>
      <c r="G96">
        <v>2</v>
      </c>
      <c r="H96" t="s">
        <v>18</v>
      </c>
      <c r="I96" s="2">
        <v>670000</v>
      </c>
      <c r="J96" s="2">
        <v>65000</v>
      </c>
      <c r="K96" s="2">
        <v>20000</v>
      </c>
      <c r="L96" s="2">
        <f t="shared" si="6"/>
        <v>585000</v>
      </c>
    </row>
    <row r="97" spans="1:12" x14ac:dyDescent="0.25">
      <c r="A97" t="str" cm="1">
        <f t="array" ref="A97">_xlfn.XLOOKUP(1,(Contratos!$B$2:$B$203=H97)*(Contratos!$C$2:$C$203=F97)*(Contratos!$D$2:$D$203=G97)*(DATE(D97,MATCH(C97,{"Enero";"Febrero";"Marzo";"Abril";"Mayo";"Junio";"Julio";"Agosto";"Septiembre";"Octubre";"Noviembre";"Diciembre"},0),1)&gt;=DATE(YEAR(Contratos!$E$2:$E$203),MONTH(Contratos!$E$2:$E$203),1))*(DATE(D97,MATCH(C97,{"Enero";"Febrero";"Marzo";"Abril";"Mayo";"Junio";"Julio";"Agosto";"Septiembre";"Octubre";"Noviembre";"Diciembre"},0),1)&lt;=DATE(YEAR(Contratos!$F$2:$F$203),MONTH(Contratos!$F$2:$F$203),1)),Contratos!$A$2:$A$203,"")</f>
        <v>bd3eeb6f-a14f-42cf-9deb-94f16f5eee70</v>
      </c>
      <c r="B97" t="s">
        <v>124</v>
      </c>
      <c r="C97" s="2" t="s">
        <v>48</v>
      </c>
      <c r="D97" s="12">
        <v>2025</v>
      </c>
      <c r="E97" s="9">
        <v>45846</v>
      </c>
      <c r="F97" t="s">
        <v>5</v>
      </c>
      <c r="G97">
        <v>3</v>
      </c>
      <c r="H97" t="s">
        <v>19</v>
      </c>
      <c r="I97" s="2">
        <v>650000</v>
      </c>
      <c r="J97" s="2">
        <v>63000</v>
      </c>
      <c r="K97" s="2">
        <v>20000</v>
      </c>
      <c r="L97" s="2">
        <f t="shared" si="6"/>
        <v>567000</v>
      </c>
    </row>
    <row r="98" spans="1:12" x14ac:dyDescent="0.25">
      <c r="A98" t="str" cm="1">
        <f t="array" ref="A98">_xlfn.XLOOKUP(1,(Contratos!$B$2:$B$203=H98)*(Contratos!$C$2:$C$203=F98)*(Contratos!$D$2:$D$203=G98)*(DATE(D98,MATCH(C98,{"Enero";"Febrero";"Marzo";"Abril";"Mayo";"Junio";"Julio";"Agosto";"Septiembre";"Octubre";"Noviembre";"Diciembre"},0),1)&gt;=DATE(YEAR(Contratos!$E$2:$E$203),MONTH(Contratos!$E$2:$E$203),1))*(DATE(D98,MATCH(C98,{"Enero";"Febrero";"Marzo";"Abril";"Mayo";"Junio";"Julio";"Agosto";"Septiembre";"Octubre";"Noviembre";"Diciembre"},0),1)&lt;=DATE(YEAR(Contratos!$F$2:$F$203),MONTH(Contratos!$F$2:$F$203),1)),Contratos!$A$2:$A$203,"")</f>
        <v>8dc982a8-8e30-4eb7-905c-fb55c4175ca4</v>
      </c>
      <c r="B98" t="s">
        <v>124</v>
      </c>
      <c r="C98" s="2" t="s">
        <v>48</v>
      </c>
      <c r="D98" s="12">
        <v>2025</v>
      </c>
      <c r="E98" s="9">
        <v>45846</v>
      </c>
      <c r="F98" t="s">
        <v>5</v>
      </c>
      <c r="G98">
        <v>4</v>
      </c>
      <c r="H98" t="s">
        <v>20</v>
      </c>
      <c r="I98" s="2">
        <v>600000</v>
      </c>
      <c r="J98" s="2">
        <v>58000</v>
      </c>
      <c r="K98" s="2">
        <v>20000</v>
      </c>
      <c r="L98" s="2">
        <f t="shared" si="6"/>
        <v>522000</v>
      </c>
    </row>
    <row r="99" spans="1:12" x14ac:dyDescent="0.25">
      <c r="A99" t="str" cm="1">
        <f t="array" ref="A99">_xlfn.XLOOKUP(1,(Contratos!$B$2:$B$203=H99)*(Contratos!$C$2:$C$203=F99)*(Contratos!$D$2:$D$203=G99)*(DATE(D99,MATCH(C99,{"Enero";"Febrero";"Marzo";"Abril";"Mayo";"Junio";"Julio";"Agosto";"Septiembre";"Octubre";"Noviembre";"Diciembre"},0),1)&gt;=DATE(YEAR(Contratos!$E$2:$E$203),MONTH(Contratos!$E$2:$E$203),1))*(DATE(D99,MATCH(C99,{"Enero";"Febrero";"Marzo";"Abril";"Mayo";"Junio";"Julio";"Agosto";"Septiembre";"Octubre";"Noviembre";"Diciembre"},0),1)&lt;=DATE(YEAR(Contratos!$F$2:$F$203),MONTH(Contratos!$F$2:$F$203),1)),Contratos!$A$2:$A$203,"")</f>
        <v>0f257e4c-3331-4e0e-869e-42c5a332a2a1</v>
      </c>
      <c r="B99" t="s">
        <v>124</v>
      </c>
      <c r="C99" s="2" t="s">
        <v>49</v>
      </c>
      <c r="D99" s="12">
        <v>2025</v>
      </c>
      <c r="E99" s="9">
        <v>45877</v>
      </c>
      <c r="F99" t="s">
        <v>2</v>
      </c>
      <c r="G99">
        <v>1</v>
      </c>
      <c r="H99" t="s">
        <v>7</v>
      </c>
      <c r="I99" s="2">
        <v>700000</v>
      </c>
      <c r="J99" s="2">
        <v>68000</v>
      </c>
      <c r="K99" s="2">
        <v>20000</v>
      </c>
      <c r="L99" s="2">
        <f>I99-SUM(J99:K99)</f>
        <v>612000</v>
      </c>
    </row>
    <row r="100" spans="1:12" x14ac:dyDescent="0.25">
      <c r="A100" t="str" cm="1">
        <f t="array" ref="A100">_xlfn.XLOOKUP(1,(Contratos!$B$2:$B$203=H100)*(Contratos!$C$2:$C$203=F100)*(Contratos!$D$2:$D$203=G100)*(DATE(D100,MATCH(C100,{"Enero";"Febrero";"Marzo";"Abril";"Mayo";"Junio";"Julio";"Agosto";"Septiembre";"Octubre";"Noviembre";"Diciembre"},0),1)&gt;=DATE(YEAR(Contratos!$E$2:$E$203),MONTH(Contratos!$E$2:$E$203),1))*(DATE(D100,MATCH(C100,{"Enero";"Febrero";"Marzo";"Abril";"Mayo";"Junio";"Julio";"Agosto";"Septiembre";"Octubre";"Noviembre";"Diciembre"},0),1)&lt;=DATE(YEAR(Contratos!$F$2:$F$203),MONTH(Contratos!$F$2:$F$203),1)),Contratos!$A$2:$A$203,"")</f>
        <v>0d8d157d-f9ab-4cd6-ac8a-7ed1a74a6746</v>
      </c>
      <c r="B100" t="s">
        <v>124</v>
      </c>
      <c r="C100" s="2" t="s">
        <v>49</v>
      </c>
      <c r="D100" s="12">
        <v>2025</v>
      </c>
      <c r="E100" s="9">
        <v>45877</v>
      </c>
      <c r="F100" t="s">
        <v>2</v>
      </c>
      <c r="G100">
        <v>2</v>
      </c>
      <c r="H100" t="s">
        <v>8</v>
      </c>
      <c r="I100" s="2">
        <v>662700</v>
      </c>
      <c r="J100" s="2">
        <v>64270</v>
      </c>
      <c r="K100" s="2">
        <v>20000</v>
      </c>
      <c r="L100" s="2">
        <f t="shared" ref="L100:L111" si="7">I100-SUM(J100:K100)</f>
        <v>578430</v>
      </c>
    </row>
    <row r="101" spans="1:12" x14ac:dyDescent="0.25">
      <c r="A101" t="str" cm="1">
        <f t="array" ref="A101">_xlfn.XLOOKUP(1,(Contratos!$B$2:$B$203=H101)*(Contratos!$C$2:$C$203=F101)*(Contratos!$D$2:$D$203=G101)*(DATE(D101,MATCH(C101,{"Enero";"Febrero";"Marzo";"Abril";"Mayo";"Junio";"Julio";"Agosto";"Septiembre";"Octubre";"Noviembre";"Diciembre"},0),1)&gt;=DATE(YEAR(Contratos!$E$2:$E$203),MONTH(Contratos!$E$2:$E$203),1))*(DATE(D101,MATCH(C101,{"Enero";"Febrero";"Marzo";"Abril";"Mayo";"Junio";"Julio";"Agosto";"Septiembre";"Octubre";"Noviembre";"Diciembre"},0),1)&lt;=DATE(YEAR(Contratos!$F$2:$F$203),MONTH(Contratos!$F$2:$F$203),1)),Contratos!$A$2:$A$203,"")</f>
        <v>3222d3e6-2b5b-4103-bc55-29e39c33ca84</v>
      </c>
      <c r="B101" t="s">
        <v>124</v>
      </c>
      <c r="C101" s="2" t="s">
        <v>49</v>
      </c>
      <c r="D101" s="12">
        <v>2025</v>
      </c>
      <c r="E101" s="9">
        <v>45877</v>
      </c>
      <c r="F101" t="s">
        <v>2</v>
      </c>
      <c r="G101">
        <v>3</v>
      </c>
      <c r="H101" t="s">
        <v>9</v>
      </c>
      <c r="I101" s="2">
        <v>631200</v>
      </c>
      <c r="J101" s="2">
        <v>63120</v>
      </c>
      <c r="K101" s="2">
        <v>0</v>
      </c>
      <c r="L101" s="2">
        <f t="shared" si="7"/>
        <v>568080</v>
      </c>
    </row>
    <row r="102" spans="1:12" x14ac:dyDescent="0.25">
      <c r="A102" t="str" cm="1">
        <f t="array" ref="A102">_xlfn.XLOOKUP(1,(Contratos!$B$2:$B$203=H102)*(Contratos!$C$2:$C$203=F102)*(Contratos!$D$2:$D$203=G102)*(DATE(D102,MATCH(C102,{"Enero";"Febrero";"Marzo";"Abril";"Mayo";"Junio";"Julio";"Agosto";"Septiembre";"Octubre";"Noviembre";"Diciembre"},0),1)&gt;=DATE(YEAR(Contratos!$E$2:$E$203),MONTH(Contratos!$E$2:$E$203),1))*(DATE(D102,MATCH(C102,{"Enero";"Febrero";"Marzo";"Abril";"Mayo";"Junio";"Julio";"Agosto";"Septiembre";"Octubre";"Noviembre";"Diciembre"},0),1)&lt;=DATE(YEAR(Contratos!$F$2:$F$203),MONTH(Contratos!$F$2:$F$203),1)),Contratos!$A$2:$A$203,"")</f>
        <v>1f5eb474-0cc5-4f59-bde6-8b6fb39d4b29</v>
      </c>
      <c r="B102" t="s">
        <v>124</v>
      </c>
      <c r="C102" s="2" t="s">
        <v>49</v>
      </c>
      <c r="D102" s="12">
        <v>2025</v>
      </c>
      <c r="E102" s="9">
        <v>45877</v>
      </c>
      <c r="F102" t="s">
        <v>3</v>
      </c>
      <c r="G102">
        <v>1</v>
      </c>
      <c r="H102" t="s">
        <v>26</v>
      </c>
      <c r="I102" s="2">
        <v>800000</v>
      </c>
      <c r="J102" s="2">
        <v>78000</v>
      </c>
      <c r="K102" s="2">
        <v>20000</v>
      </c>
      <c r="L102" s="2">
        <f t="shared" si="7"/>
        <v>702000</v>
      </c>
    </row>
    <row r="103" spans="1:12" x14ac:dyDescent="0.25">
      <c r="A103" t="str" cm="1">
        <f t="array" ref="A103">_xlfn.XLOOKUP(1,(Contratos!$B$2:$B$203=H103)*(Contratos!$C$2:$C$203=F103)*(Contratos!$D$2:$D$203=G103)*(DATE(D103,MATCH(C103,{"Enero";"Febrero";"Marzo";"Abril";"Mayo";"Junio";"Julio";"Agosto";"Septiembre";"Octubre";"Noviembre";"Diciembre"},0),1)&gt;=DATE(YEAR(Contratos!$E$2:$E$203),MONTH(Contratos!$E$2:$E$203),1))*(DATE(D103,MATCH(C103,{"Enero";"Febrero";"Marzo";"Abril";"Mayo";"Junio";"Julio";"Agosto";"Septiembre";"Octubre";"Noviembre";"Diciembre"},0),1)&lt;=DATE(YEAR(Contratos!$F$2:$F$203),MONTH(Contratos!$F$2:$F$203),1)),Contratos!$A$2:$A$203,"")</f>
        <v>e725ef85-824a-4f9c-b7c6-445df4612ef0</v>
      </c>
      <c r="B103" t="s">
        <v>124</v>
      </c>
      <c r="C103" s="2" t="s">
        <v>49</v>
      </c>
      <c r="D103" s="12">
        <v>2025</v>
      </c>
      <c r="E103" s="9">
        <v>45877</v>
      </c>
      <c r="F103" t="s">
        <v>3</v>
      </c>
      <c r="G103">
        <v>2</v>
      </c>
      <c r="H103" t="s">
        <v>11</v>
      </c>
      <c r="I103" s="2">
        <v>688000</v>
      </c>
      <c r="J103" s="2">
        <v>66800</v>
      </c>
      <c r="K103" s="2">
        <v>20000</v>
      </c>
      <c r="L103" s="2">
        <f t="shared" si="7"/>
        <v>601200</v>
      </c>
    </row>
    <row r="104" spans="1:12" x14ac:dyDescent="0.25">
      <c r="A104" t="str" cm="1">
        <f t="array" ref="A104">_xlfn.XLOOKUP(1,(Contratos!$B$2:$B$203=H104)*(Contratos!$C$2:$C$203=F104)*(Contratos!$D$2:$D$203=G104)*(DATE(D104,MATCH(C104,{"Enero";"Febrero";"Marzo";"Abril";"Mayo";"Junio";"Julio";"Agosto";"Septiembre";"Octubre";"Noviembre";"Diciembre"},0),1)&gt;=DATE(YEAR(Contratos!$E$2:$E$203),MONTH(Contratos!$E$2:$E$203),1))*(DATE(D104,MATCH(C104,{"Enero";"Febrero";"Marzo";"Abril";"Mayo";"Junio";"Julio";"Agosto";"Septiembre";"Octubre";"Noviembre";"Diciembre"},0),1)&lt;=DATE(YEAR(Contratos!$F$2:$F$203),MONTH(Contratos!$F$2:$F$203),1)),Contratos!$A$2:$A$203,"")</f>
        <v>652336e7-90e6-4346-a1db-9c99b994afe6</v>
      </c>
      <c r="B104" t="s">
        <v>124</v>
      </c>
      <c r="C104" s="2" t="s">
        <v>49</v>
      </c>
      <c r="D104" s="12">
        <v>2025</v>
      </c>
      <c r="E104" s="9">
        <v>45877</v>
      </c>
      <c r="F104" t="s">
        <v>3</v>
      </c>
      <c r="G104">
        <v>3</v>
      </c>
      <c r="H104" t="s">
        <v>12</v>
      </c>
      <c r="I104" s="2">
        <v>632200</v>
      </c>
      <c r="J104" s="2">
        <v>61220</v>
      </c>
      <c r="K104" s="2">
        <v>20000</v>
      </c>
      <c r="L104" s="2">
        <f t="shared" si="7"/>
        <v>550980</v>
      </c>
    </row>
    <row r="105" spans="1:12" x14ac:dyDescent="0.25">
      <c r="A105" t="str" cm="1">
        <f t="array" ref="A105">_xlfn.XLOOKUP(1,(Contratos!$B$2:$B$203=H105)*(Contratos!$C$2:$C$203=F105)*(Contratos!$D$2:$D$203=G105)*(DATE(D105,MATCH(C105,{"Enero";"Febrero";"Marzo";"Abril";"Mayo";"Junio";"Julio";"Agosto";"Septiembre";"Octubre";"Noviembre";"Diciembre"},0),1)&gt;=DATE(YEAR(Contratos!$E$2:$E$203),MONTH(Contratos!$E$2:$E$203),1))*(DATE(D105,MATCH(C105,{"Enero";"Febrero";"Marzo";"Abril";"Mayo";"Junio";"Julio";"Agosto";"Septiembre";"Octubre";"Noviembre";"Diciembre"},0),1)&lt;=DATE(YEAR(Contratos!$F$2:$F$203),MONTH(Contratos!$F$2:$F$203),1)),Contratos!$A$2:$A$203,"")</f>
        <v>420d1c8b-349d-466e-9369-1ab30c465800</v>
      </c>
      <c r="B105" t="s">
        <v>124</v>
      </c>
      <c r="C105" s="2" t="s">
        <v>49</v>
      </c>
      <c r="D105" s="12">
        <v>2025</v>
      </c>
      <c r="E105" s="9">
        <v>45877</v>
      </c>
      <c r="F105" t="s">
        <v>4</v>
      </c>
      <c r="G105">
        <v>1</v>
      </c>
      <c r="H105" t="s">
        <v>13</v>
      </c>
      <c r="I105" s="2">
        <v>820000</v>
      </c>
      <c r="J105" s="2">
        <v>80000</v>
      </c>
      <c r="K105" s="2">
        <v>20000</v>
      </c>
      <c r="L105" s="2">
        <f t="shared" si="7"/>
        <v>720000</v>
      </c>
    </row>
    <row r="106" spans="1:12" x14ac:dyDescent="0.25">
      <c r="A106" t="str" cm="1">
        <f t="array" ref="A106">_xlfn.XLOOKUP(1,(Contratos!$B$2:$B$203=H106)*(Contratos!$C$2:$C$203=F106)*(Contratos!$D$2:$D$203=G106)*(DATE(D106,MATCH(C106,{"Enero";"Febrero";"Marzo";"Abril";"Mayo";"Junio";"Julio";"Agosto";"Septiembre";"Octubre";"Noviembre";"Diciembre"},0),1)&gt;=DATE(YEAR(Contratos!$E$2:$E$203),MONTH(Contratos!$E$2:$E$203),1))*(DATE(D106,MATCH(C106,{"Enero";"Febrero";"Marzo";"Abril";"Mayo";"Junio";"Julio";"Agosto";"Septiembre";"Octubre";"Noviembre";"Diciembre"},0),1)&lt;=DATE(YEAR(Contratos!$F$2:$F$203),MONTH(Contratos!$F$2:$F$203),1)),Contratos!$A$2:$A$203,"")</f>
        <v>4c0d2b4b-0d3e-42de-af57-9305df4b2c02</v>
      </c>
      <c r="B106" t="s">
        <v>124</v>
      </c>
      <c r="C106" s="2" t="s">
        <v>49</v>
      </c>
      <c r="D106" s="12">
        <v>2025</v>
      </c>
      <c r="E106" s="9">
        <v>45877</v>
      </c>
      <c r="F106" t="s">
        <v>4</v>
      </c>
      <c r="G106">
        <v>2</v>
      </c>
      <c r="H106" t="s">
        <v>14</v>
      </c>
      <c r="I106" s="2">
        <v>764000</v>
      </c>
      <c r="J106" s="2">
        <v>74400</v>
      </c>
      <c r="K106" s="2">
        <v>20000</v>
      </c>
      <c r="L106" s="2">
        <f t="shared" si="7"/>
        <v>669600</v>
      </c>
    </row>
    <row r="107" spans="1:12" x14ac:dyDescent="0.25">
      <c r="A107" t="str" cm="1">
        <f t="array" ref="A107">_xlfn.XLOOKUP(1,(Contratos!$B$2:$B$203=H107)*(Contratos!$C$2:$C$203=F107)*(Contratos!$D$2:$D$203=G107)*(DATE(D107,MATCH(C107,{"Enero";"Febrero";"Marzo";"Abril";"Mayo";"Junio";"Julio";"Agosto";"Septiembre";"Octubre";"Noviembre";"Diciembre"},0),1)&gt;=DATE(YEAR(Contratos!$E$2:$E$203),MONTH(Contratos!$E$2:$E$203),1))*(DATE(D107,MATCH(C107,{"Enero";"Febrero";"Marzo";"Abril";"Mayo";"Junio";"Julio";"Agosto";"Septiembre";"Octubre";"Noviembre";"Diciembre"},0),1)&lt;=DATE(YEAR(Contratos!$F$2:$F$203),MONTH(Contratos!$F$2:$F$203),1)),Contratos!$A$2:$A$203,"")</f>
        <v>ae88cdb7-93b0-42cd-bda5-e4576643e9c7</v>
      </c>
      <c r="B107" t="s">
        <v>124</v>
      </c>
      <c r="C107" s="2" t="s">
        <v>49</v>
      </c>
      <c r="D107" s="12">
        <v>2025</v>
      </c>
      <c r="E107" s="9">
        <v>45877</v>
      </c>
      <c r="F107" t="s">
        <v>4</v>
      </c>
      <c r="G107">
        <v>3</v>
      </c>
      <c r="H107" t="s">
        <v>15</v>
      </c>
      <c r="I107" s="2">
        <v>700000</v>
      </c>
      <c r="J107" s="2">
        <v>68000</v>
      </c>
      <c r="K107" s="2">
        <v>20000</v>
      </c>
      <c r="L107" s="2">
        <f t="shared" si="7"/>
        <v>612000</v>
      </c>
    </row>
    <row r="108" spans="1:12" x14ac:dyDescent="0.25">
      <c r="A108" t="str" cm="1">
        <f t="array" ref="A108">_xlfn.XLOOKUP(1,(Contratos!$B$2:$B$203=H108)*(Contratos!$C$2:$C$203=F108)*(Contratos!$D$2:$D$203=G108)*(DATE(D108,MATCH(C108,{"Enero";"Febrero";"Marzo";"Abril";"Mayo";"Junio";"Julio";"Agosto";"Septiembre";"Octubre";"Noviembre";"Diciembre"},0),1)&gt;=DATE(YEAR(Contratos!$E$2:$E$203),MONTH(Contratos!$E$2:$E$203),1))*(DATE(D108,MATCH(C108,{"Enero";"Febrero";"Marzo";"Abril";"Mayo";"Junio";"Julio";"Agosto";"Septiembre";"Octubre";"Noviembre";"Diciembre"},0),1)&lt;=DATE(YEAR(Contratos!$F$2:$F$203),MONTH(Contratos!$F$2:$F$203),1)),Contratos!$A$2:$A$203,"")</f>
        <v>01fb67ad-1898-47db-a814-5a658a723a89</v>
      </c>
      <c r="B108" t="s">
        <v>124</v>
      </c>
      <c r="C108" s="2" t="s">
        <v>49</v>
      </c>
      <c r="D108" s="12">
        <v>2025</v>
      </c>
      <c r="E108" s="9">
        <v>45877</v>
      </c>
      <c r="F108" t="s">
        <v>5</v>
      </c>
      <c r="G108">
        <v>1</v>
      </c>
      <c r="H108" t="s">
        <v>17</v>
      </c>
      <c r="I108" s="2">
        <v>673280</v>
      </c>
      <c r="J108" s="2">
        <v>65328</v>
      </c>
      <c r="K108" s="2">
        <v>20000</v>
      </c>
      <c r="L108" s="2">
        <f t="shared" si="7"/>
        <v>587952</v>
      </c>
    </row>
    <row r="109" spans="1:12" x14ac:dyDescent="0.25">
      <c r="A109" t="str" cm="1">
        <f t="array" ref="A109">_xlfn.XLOOKUP(1,(Contratos!$B$2:$B$203=H109)*(Contratos!$C$2:$C$203=F109)*(Contratos!$D$2:$D$203=G109)*(DATE(D109,MATCH(C109,{"Enero";"Febrero";"Marzo";"Abril";"Mayo";"Junio";"Julio";"Agosto";"Septiembre";"Octubre";"Noviembre";"Diciembre"},0),1)&gt;=DATE(YEAR(Contratos!$E$2:$E$203),MONTH(Contratos!$E$2:$E$203),1))*(DATE(D109,MATCH(C109,{"Enero";"Febrero";"Marzo";"Abril";"Mayo";"Junio";"Julio";"Agosto";"Septiembre";"Octubre";"Noviembre";"Diciembre"},0),1)&lt;=DATE(YEAR(Contratos!$F$2:$F$203),MONTH(Contratos!$F$2:$F$203),1)),Contratos!$A$2:$A$203,"")</f>
        <v>10424221-9e53-4f28-aea8-3549e2e43b87</v>
      </c>
      <c r="B109" t="s">
        <v>124</v>
      </c>
      <c r="C109" s="2" t="s">
        <v>49</v>
      </c>
      <c r="D109" s="12">
        <v>2025</v>
      </c>
      <c r="E109" s="9">
        <v>45877</v>
      </c>
      <c r="F109" t="s">
        <v>5</v>
      </c>
      <c r="G109">
        <v>2</v>
      </c>
      <c r="H109" t="s">
        <v>18</v>
      </c>
      <c r="I109" s="2">
        <v>670000</v>
      </c>
      <c r="J109" s="2">
        <v>65000</v>
      </c>
      <c r="K109" s="2">
        <v>20000</v>
      </c>
      <c r="L109" s="2">
        <f t="shared" si="7"/>
        <v>585000</v>
      </c>
    </row>
    <row r="110" spans="1:12" x14ac:dyDescent="0.25">
      <c r="A110" t="str" cm="1">
        <f t="array" ref="A110">_xlfn.XLOOKUP(1,(Contratos!$B$2:$B$203=H110)*(Contratos!$C$2:$C$203=F110)*(Contratos!$D$2:$D$203=G110)*(DATE(D110,MATCH(C110,{"Enero";"Febrero";"Marzo";"Abril";"Mayo";"Junio";"Julio";"Agosto";"Septiembre";"Octubre";"Noviembre";"Diciembre"},0),1)&gt;=DATE(YEAR(Contratos!$E$2:$E$203),MONTH(Contratos!$E$2:$E$203),1))*(DATE(D110,MATCH(C110,{"Enero";"Febrero";"Marzo";"Abril";"Mayo";"Junio";"Julio";"Agosto";"Septiembre";"Octubre";"Noviembre";"Diciembre"},0),1)&lt;=DATE(YEAR(Contratos!$F$2:$F$203),MONTH(Contratos!$F$2:$F$203),1)),Contratos!$A$2:$A$203,"")</f>
        <v>bd3eeb6f-a14f-42cf-9deb-94f16f5eee70</v>
      </c>
      <c r="B110" t="s">
        <v>124</v>
      </c>
      <c r="C110" s="2" t="s">
        <v>49</v>
      </c>
      <c r="D110" s="12">
        <v>2025</v>
      </c>
      <c r="E110" s="9">
        <v>45877</v>
      </c>
      <c r="F110" t="s">
        <v>5</v>
      </c>
      <c r="G110">
        <v>3</v>
      </c>
      <c r="H110" t="s">
        <v>19</v>
      </c>
      <c r="I110" s="2">
        <v>650000</v>
      </c>
      <c r="J110" s="2">
        <v>63000</v>
      </c>
      <c r="K110" s="2">
        <v>20000</v>
      </c>
      <c r="L110" s="2">
        <f t="shared" si="7"/>
        <v>567000</v>
      </c>
    </row>
    <row r="111" spans="1:12" x14ac:dyDescent="0.25">
      <c r="A111" t="str" cm="1">
        <f t="array" ref="A111">_xlfn.XLOOKUP(1,(Contratos!$B$2:$B$203=H111)*(Contratos!$C$2:$C$203=F111)*(Contratos!$D$2:$D$203=G111)*(DATE(D111,MATCH(C111,{"Enero";"Febrero";"Marzo";"Abril";"Mayo";"Junio";"Julio";"Agosto";"Septiembre";"Octubre";"Noviembre";"Diciembre"},0),1)&gt;=DATE(YEAR(Contratos!$E$2:$E$203),MONTH(Contratos!$E$2:$E$203),1))*(DATE(D111,MATCH(C111,{"Enero";"Febrero";"Marzo";"Abril";"Mayo";"Junio";"Julio";"Agosto";"Septiembre";"Octubre";"Noviembre";"Diciembre"},0),1)&lt;=DATE(YEAR(Contratos!$F$2:$F$203),MONTH(Contratos!$F$2:$F$203),1)),Contratos!$A$2:$A$203,"")</f>
        <v>8dc982a8-8e30-4eb7-905c-fb55c4175ca4</v>
      </c>
      <c r="B111" t="s">
        <v>124</v>
      </c>
      <c r="C111" s="2" t="s">
        <v>49</v>
      </c>
      <c r="D111" s="12">
        <v>2025</v>
      </c>
      <c r="E111" s="9">
        <v>45877</v>
      </c>
      <c r="F111" t="s">
        <v>5</v>
      </c>
      <c r="G111">
        <v>4</v>
      </c>
      <c r="H111" t="s">
        <v>20</v>
      </c>
      <c r="I111" s="2">
        <v>600000</v>
      </c>
      <c r="J111" s="2">
        <v>58000</v>
      </c>
      <c r="K111" s="2">
        <v>20000</v>
      </c>
      <c r="L111" s="2">
        <f t="shared" si="7"/>
        <v>522000</v>
      </c>
    </row>
    <row r="112" spans="1:12" x14ac:dyDescent="0.25">
      <c r="A112" t="str" cm="1">
        <f t="array" ref="A112">_xlfn.XLOOKUP(1,(Contratos!$B$2:$B$203=H112)*(Contratos!$C$2:$C$203=F112)*(Contratos!$D$2:$D$203=G112)*(DATE(D112,MATCH(C112,{"Enero";"Febrero";"Marzo";"Abril";"Mayo";"Junio";"Julio";"Agosto";"Septiembre";"Octubre";"Noviembre";"Diciembre"},0),1)&gt;=DATE(YEAR(Contratos!$E$2:$E$203),MONTH(Contratos!$E$2:$E$203),1))*(DATE(D112,MATCH(C112,{"Enero";"Febrero";"Marzo";"Abril";"Mayo";"Junio";"Julio";"Agosto";"Septiembre";"Octubre";"Noviembre";"Diciembre"},0),1)&lt;=DATE(YEAR(Contratos!$F$2:$F$203),MONTH(Contratos!$F$2:$F$203),1)),Contratos!$A$2:$A$203,"")</f>
        <v>0f257e4c-3331-4e0e-869e-42c5a332a2a1</v>
      </c>
      <c r="B112" t="s">
        <v>124</v>
      </c>
      <c r="C112" s="2" t="s">
        <v>50</v>
      </c>
      <c r="D112" s="12">
        <v>2025</v>
      </c>
      <c r="E112" s="9">
        <v>45910</v>
      </c>
      <c r="F112" t="s">
        <v>2</v>
      </c>
      <c r="G112">
        <v>1</v>
      </c>
      <c r="H112" t="s">
        <v>7</v>
      </c>
      <c r="I112" s="2">
        <v>700000</v>
      </c>
      <c r="J112" s="2">
        <v>68000</v>
      </c>
      <c r="K112" s="2">
        <v>20000</v>
      </c>
      <c r="L112" s="2">
        <f>I112-SUM(J112:K112)</f>
        <v>612000</v>
      </c>
    </row>
    <row r="113" spans="1:12" x14ac:dyDescent="0.25">
      <c r="A113" t="str" cm="1">
        <f t="array" ref="A113">_xlfn.XLOOKUP(1,(Contratos!$B$2:$B$203=H113)*(Contratos!$C$2:$C$203=F113)*(Contratos!$D$2:$D$203=G113)*(DATE(D113,MATCH(C113,{"Enero";"Febrero";"Marzo";"Abril";"Mayo";"Junio";"Julio";"Agosto";"Septiembre";"Octubre";"Noviembre";"Diciembre"},0),1)&gt;=DATE(YEAR(Contratos!$E$2:$E$203),MONTH(Contratos!$E$2:$E$203),1))*(DATE(D113,MATCH(C113,{"Enero";"Febrero";"Marzo";"Abril";"Mayo";"Junio";"Julio";"Agosto";"Septiembre";"Octubre";"Noviembre";"Diciembre"},0),1)&lt;=DATE(YEAR(Contratos!$F$2:$F$203),MONTH(Contratos!$F$2:$F$203),1)),Contratos!$A$2:$A$203,"")</f>
        <v>0d8d157d-f9ab-4cd6-ac8a-7ed1a74a6746</v>
      </c>
      <c r="B113" t="s">
        <v>124</v>
      </c>
      <c r="C113" s="2" t="s">
        <v>50</v>
      </c>
      <c r="D113" s="12">
        <v>2025</v>
      </c>
      <c r="E113" s="9">
        <v>45910</v>
      </c>
      <c r="F113" t="s">
        <v>2</v>
      </c>
      <c r="G113">
        <v>2</v>
      </c>
      <c r="H113" t="s">
        <v>8</v>
      </c>
      <c r="I113" s="2">
        <v>662700</v>
      </c>
      <c r="J113" s="2">
        <v>64270</v>
      </c>
      <c r="K113" s="2">
        <v>20000</v>
      </c>
      <c r="L113" s="2">
        <f t="shared" ref="L113:L124" si="8">I113-SUM(J113:K113)</f>
        <v>578430</v>
      </c>
    </row>
    <row r="114" spans="1:12" x14ac:dyDescent="0.25">
      <c r="A114" t="str" cm="1">
        <f t="array" ref="A114">_xlfn.XLOOKUP(1,(Contratos!$B$2:$B$203=H114)*(Contratos!$C$2:$C$203=F114)*(Contratos!$D$2:$D$203=G114)*(DATE(D114,MATCH(C114,{"Enero";"Febrero";"Marzo";"Abril";"Mayo";"Junio";"Julio";"Agosto";"Septiembre";"Octubre";"Noviembre";"Diciembre"},0),1)&gt;=DATE(YEAR(Contratos!$E$2:$E$203),MONTH(Contratos!$E$2:$E$203),1))*(DATE(D114,MATCH(C114,{"Enero";"Febrero";"Marzo";"Abril";"Mayo";"Junio";"Julio";"Agosto";"Septiembre";"Octubre";"Noviembre";"Diciembre"},0),1)&lt;=DATE(YEAR(Contratos!$F$2:$F$203),MONTH(Contratos!$F$2:$F$203),1)),Contratos!$A$2:$A$203,"")</f>
        <v>3222d3e6-2b5b-4103-bc55-29e39c33ca84</v>
      </c>
      <c r="B114" t="s">
        <v>124</v>
      </c>
      <c r="C114" s="2" t="s">
        <v>50</v>
      </c>
      <c r="D114" s="12">
        <v>2025</v>
      </c>
      <c r="E114" s="9">
        <v>45910</v>
      </c>
      <c r="F114" t="s">
        <v>2</v>
      </c>
      <c r="G114">
        <v>3</v>
      </c>
      <c r="H114" t="s">
        <v>9</v>
      </c>
      <c r="I114" s="2">
        <v>631200</v>
      </c>
      <c r="J114" s="2">
        <v>63120</v>
      </c>
      <c r="K114" s="2">
        <v>0</v>
      </c>
      <c r="L114" s="2">
        <f t="shared" si="8"/>
        <v>568080</v>
      </c>
    </row>
    <row r="115" spans="1:12" x14ac:dyDescent="0.25">
      <c r="A115" t="str" cm="1">
        <f t="array" ref="A115">_xlfn.XLOOKUP(1,(Contratos!$B$2:$B$203=H115)*(Contratos!$C$2:$C$203=F115)*(Contratos!$D$2:$D$203=G115)*(DATE(D115,MATCH(C115,{"Enero";"Febrero";"Marzo";"Abril";"Mayo";"Junio";"Julio";"Agosto";"Septiembre";"Octubre";"Noviembre";"Diciembre"},0),1)&gt;=DATE(YEAR(Contratos!$E$2:$E$203),MONTH(Contratos!$E$2:$E$203),1))*(DATE(D115,MATCH(C115,{"Enero";"Febrero";"Marzo";"Abril";"Mayo";"Junio";"Julio";"Agosto";"Septiembre";"Octubre";"Noviembre";"Diciembre"},0),1)&lt;=DATE(YEAR(Contratos!$F$2:$F$203),MONTH(Contratos!$F$2:$F$203),1)),Contratos!$A$2:$A$203,"")</f>
        <v>1f5eb474-0cc5-4f59-bde6-8b6fb39d4b29</v>
      </c>
      <c r="B115" t="s">
        <v>124</v>
      </c>
      <c r="C115" s="2" t="s">
        <v>50</v>
      </c>
      <c r="D115" s="12">
        <v>2025</v>
      </c>
      <c r="E115" s="9">
        <v>45910</v>
      </c>
      <c r="F115" t="s">
        <v>3</v>
      </c>
      <c r="G115">
        <v>1</v>
      </c>
      <c r="H115" t="s">
        <v>26</v>
      </c>
      <c r="I115" s="2">
        <v>800000</v>
      </c>
      <c r="J115" s="2">
        <v>78000</v>
      </c>
      <c r="K115" s="2">
        <v>20000</v>
      </c>
      <c r="L115" s="2">
        <f t="shared" si="8"/>
        <v>702000</v>
      </c>
    </row>
    <row r="116" spans="1:12" x14ac:dyDescent="0.25">
      <c r="A116" t="str" cm="1">
        <f t="array" ref="A116">_xlfn.XLOOKUP(1,(Contratos!$B$2:$B$203=H116)*(Contratos!$C$2:$C$203=F116)*(Contratos!$D$2:$D$203=G116)*(DATE(D116,MATCH(C116,{"Enero";"Febrero";"Marzo";"Abril";"Mayo";"Junio";"Julio";"Agosto";"Septiembre";"Octubre";"Noviembre";"Diciembre"},0),1)&gt;=DATE(YEAR(Contratos!$E$2:$E$203),MONTH(Contratos!$E$2:$E$203),1))*(DATE(D116,MATCH(C116,{"Enero";"Febrero";"Marzo";"Abril";"Mayo";"Junio";"Julio";"Agosto";"Septiembre";"Octubre";"Noviembre";"Diciembre"},0),1)&lt;=DATE(YEAR(Contratos!$F$2:$F$203),MONTH(Contratos!$F$2:$F$203),1)),Contratos!$A$2:$A$203,"")</f>
        <v>e725ef85-824a-4f9c-b7c6-445df4612ef0</v>
      </c>
      <c r="B116" t="s">
        <v>124</v>
      </c>
      <c r="C116" s="2" t="s">
        <v>50</v>
      </c>
      <c r="D116" s="12">
        <v>2025</v>
      </c>
      <c r="E116" s="9">
        <v>45910</v>
      </c>
      <c r="F116" t="s">
        <v>3</v>
      </c>
      <c r="G116">
        <v>2</v>
      </c>
      <c r="H116" t="s">
        <v>11</v>
      </c>
      <c r="I116" s="2">
        <v>688000</v>
      </c>
      <c r="J116" s="2">
        <v>66800</v>
      </c>
      <c r="K116" s="2">
        <v>20000</v>
      </c>
      <c r="L116" s="2">
        <f t="shared" si="8"/>
        <v>601200</v>
      </c>
    </row>
    <row r="117" spans="1:12" x14ac:dyDescent="0.25">
      <c r="A117" t="str" cm="1">
        <f t="array" ref="A117">_xlfn.XLOOKUP(1,(Contratos!$B$2:$B$203=H117)*(Contratos!$C$2:$C$203=F117)*(Contratos!$D$2:$D$203=G117)*(DATE(D117,MATCH(C117,{"Enero";"Febrero";"Marzo";"Abril";"Mayo";"Junio";"Julio";"Agosto";"Septiembre";"Octubre";"Noviembre";"Diciembre"},0),1)&gt;=DATE(YEAR(Contratos!$E$2:$E$203),MONTH(Contratos!$E$2:$E$203),1))*(DATE(D117,MATCH(C117,{"Enero";"Febrero";"Marzo";"Abril";"Mayo";"Junio";"Julio";"Agosto";"Septiembre";"Octubre";"Noviembre";"Diciembre"},0),1)&lt;=DATE(YEAR(Contratos!$F$2:$F$203),MONTH(Contratos!$F$2:$F$203),1)),Contratos!$A$2:$A$203,"")</f>
        <v>652336e7-90e6-4346-a1db-9c99b994afe6</v>
      </c>
      <c r="B117" t="s">
        <v>124</v>
      </c>
      <c r="C117" s="2" t="s">
        <v>50</v>
      </c>
      <c r="D117" s="12">
        <v>2025</v>
      </c>
      <c r="E117" s="9">
        <v>45910</v>
      </c>
      <c r="F117" t="s">
        <v>3</v>
      </c>
      <c r="G117">
        <v>3</v>
      </c>
      <c r="H117" t="s">
        <v>12</v>
      </c>
      <c r="I117" s="2">
        <v>632200</v>
      </c>
      <c r="J117" s="2">
        <v>61220</v>
      </c>
      <c r="K117" s="2">
        <v>20000</v>
      </c>
      <c r="L117" s="2">
        <f t="shared" si="8"/>
        <v>550980</v>
      </c>
    </row>
    <row r="118" spans="1:12" x14ac:dyDescent="0.25">
      <c r="A118" t="str" cm="1">
        <f t="array" ref="A118">_xlfn.XLOOKUP(1,(Contratos!$B$2:$B$203=H118)*(Contratos!$C$2:$C$203=F118)*(Contratos!$D$2:$D$203=G118)*(DATE(D118,MATCH(C118,{"Enero";"Febrero";"Marzo";"Abril";"Mayo";"Junio";"Julio";"Agosto";"Septiembre";"Octubre";"Noviembre";"Diciembre"},0),1)&gt;=DATE(YEAR(Contratos!$E$2:$E$203),MONTH(Contratos!$E$2:$E$203),1))*(DATE(D118,MATCH(C118,{"Enero";"Febrero";"Marzo";"Abril";"Mayo";"Junio";"Julio";"Agosto";"Septiembre";"Octubre";"Noviembre";"Diciembre"},0),1)&lt;=DATE(YEAR(Contratos!$F$2:$F$203),MONTH(Contratos!$F$2:$F$203),1)),Contratos!$A$2:$A$203,"")</f>
        <v>02c61008-4e84-43c2-88b5-08e054eb6049</v>
      </c>
      <c r="B118" t="s">
        <v>124</v>
      </c>
      <c r="C118" s="2" t="s">
        <v>50</v>
      </c>
      <c r="D118" s="12">
        <v>2025</v>
      </c>
      <c r="E118" s="9">
        <v>45910</v>
      </c>
      <c r="F118" t="s">
        <v>4</v>
      </c>
      <c r="G118">
        <v>1</v>
      </c>
      <c r="H118" t="s">
        <v>27</v>
      </c>
      <c r="I118" s="2">
        <v>850000</v>
      </c>
      <c r="J118" s="2">
        <v>83000</v>
      </c>
      <c r="K118" s="2">
        <v>20000</v>
      </c>
      <c r="L118" s="2">
        <f t="shared" si="8"/>
        <v>747000</v>
      </c>
    </row>
    <row r="119" spans="1:12" x14ac:dyDescent="0.25">
      <c r="A119" t="str" cm="1">
        <f t="array" ref="A119">_xlfn.XLOOKUP(1,(Contratos!$B$2:$B$203=H119)*(Contratos!$C$2:$C$203=F119)*(Contratos!$D$2:$D$203=G119)*(DATE(D119,MATCH(C119,{"Enero";"Febrero";"Marzo";"Abril";"Mayo";"Junio";"Julio";"Agosto";"Septiembre";"Octubre";"Noviembre";"Diciembre"},0),1)&gt;=DATE(YEAR(Contratos!$E$2:$E$203),MONTH(Contratos!$E$2:$E$203),1))*(DATE(D119,MATCH(C119,{"Enero";"Febrero";"Marzo";"Abril";"Mayo";"Junio";"Julio";"Agosto";"Septiembre";"Octubre";"Noviembre";"Diciembre"},0),1)&lt;=DATE(YEAR(Contratos!$F$2:$F$203),MONTH(Contratos!$F$2:$F$203),1)),Contratos!$A$2:$A$203,"")</f>
        <v>359216a7-8ba9-4e24-8cac-7dc225c9d6e1</v>
      </c>
      <c r="B119" t="s">
        <v>124</v>
      </c>
      <c r="C119" s="2" t="s">
        <v>50</v>
      </c>
      <c r="D119" s="12">
        <v>2025</v>
      </c>
      <c r="E119" s="9">
        <v>45910</v>
      </c>
      <c r="F119" t="s">
        <v>4</v>
      </c>
      <c r="G119">
        <v>2</v>
      </c>
      <c r="H119" t="s">
        <v>14</v>
      </c>
      <c r="I119" s="2">
        <v>764000</v>
      </c>
      <c r="J119" s="2">
        <v>74400</v>
      </c>
      <c r="K119" s="2">
        <v>20000</v>
      </c>
      <c r="L119" s="2">
        <f t="shared" si="8"/>
        <v>669600</v>
      </c>
    </row>
    <row r="120" spans="1:12" x14ac:dyDescent="0.25">
      <c r="A120" t="str" cm="1">
        <f t="array" ref="A120">_xlfn.XLOOKUP(1,(Contratos!$B$2:$B$203=H120)*(Contratos!$C$2:$C$203=F120)*(Contratos!$D$2:$D$203=G120)*(DATE(D120,MATCH(C120,{"Enero";"Febrero";"Marzo";"Abril";"Mayo";"Junio";"Julio";"Agosto";"Septiembre";"Octubre";"Noviembre";"Diciembre"},0),1)&gt;=DATE(YEAR(Contratos!$E$2:$E$203),MONTH(Contratos!$E$2:$E$203),1))*(DATE(D120,MATCH(C120,{"Enero";"Febrero";"Marzo";"Abril";"Mayo";"Junio";"Julio";"Agosto";"Septiembre";"Octubre";"Noviembre";"Diciembre"},0),1)&lt;=DATE(YEAR(Contratos!$F$2:$F$203),MONTH(Contratos!$F$2:$F$203),1)),Contratos!$A$2:$A$203,"")</f>
        <v>ae88cdb7-93b0-42cd-bda5-e4576643e9c7</v>
      </c>
      <c r="B120" t="s">
        <v>124</v>
      </c>
      <c r="C120" s="2" t="s">
        <v>50</v>
      </c>
      <c r="D120" s="12">
        <v>2025</v>
      </c>
      <c r="E120" s="9">
        <v>45910</v>
      </c>
      <c r="F120" t="s">
        <v>4</v>
      </c>
      <c r="G120">
        <v>3</v>
      </c>
      <c r="H120" t="s">
        <v>15</v>
      </c>
      <c r="I120" s="2">
        <v>700000</v>
      </c>
      <c r="J120" s="2">
        <v>68000</v>
      </c>
      <c r="K120" s="2">
        <v>20000</v>
      </c>
      <c r="L120" s="2">
        <f t="shared" si="8"/>
        <v>612000</v>
      </c>
    </row>
    <row r="121" spans="1:12" x14ac:dyDescent="0.25">
      <c r="A121" t="str" cm="1">
        <f t="array" ref="A121">_xlfn.XLOOKUP(1,(Contratos!$B$2:$B$203=H121)*(Contratos!$C$2:$C$203=F121)*(Contratos!$D$2:$D$203=G121)*(DATE(D121,MATCH(C121,{"Enero";"Febrero";"Marzo";"Abril";"Mayo";"Junio";"Julio";"Agosto";"Septiembre";"Octubre";"Noviembre";"Diciembre"},0),1)&gt;=DATE(YEAR(Contratos!$E$2:$E$203),MONTH(Contratos!$E$2:$E$203),1))*(DATE(D121,MATCH(C121,{"Enero";"Febrero";"Marzo";"Abril";"Mayo";"Junio";"Julio";"Agosto";"Septiembre";"Octubre";"Noviembre";"Diciembre"},0),1)&lt;=DATE(YEAR(Contratos!$F$2:$F$203),MONTH(Contratos!$F$2:$F$203),1)),Contratos!$A$2:$A$203,"")</f>
        <v>b934fcd1-5390-4b7c-b3bc-4a642a1d7f9e</v>
      </c>
      <c r="B121" t="s">
        <v>124</v>
      </c>
      <c r="C121" s="2" t="s">
        <v>50</v>
      </c>
      <c r="D121" s="12">
        <v>2025</v>
      </c>
      <c r="E121" s="9">
        <v>45910</v>
      </c>
      <c r="F121" t="s">
        <v>4</v>
      </c>
      <c r="G121">
        <v>4</v>
      </c>
      <c r="H121" t="s">
        <v>28</v>
      </c>
      <c r="I121" s="2">
        <v>650000</v>
      </c>
      <c r="J121" s="2">
        <v>63000</v>
      </c>
      <c r="K121" s="2">
        <v>20000</v>
      </c>
      <c r="L121" s="2">
        <f t="shared" si="8"/>
        <v>567000</v>
      </c>
    </row>
    <row r="122" spans="1:12" x14ac:dyDescent="0.25">
      <c r="A122" t="str" cm="1">
        <f t="array" ref="A122">_xlfn.XLOOKUP(1,(Contratos!$B$2:$B$203=H122)*(Contratos!$C$2:$C$203=F122)*(Contratos!$D$2:$D$203=G122)*(DATE(D122,MATCH(C122,{"Enero";"Febrero";"Marzo";"Abril";"Mayo";"Junio";"Julio";"Agosto";"Septiembre";"Octubre";"Noviembre";"Diciembre"},0),1)&gt;=DATE(YEAR(Contratos!$E$2:$E$203),MONTH(Contratos!$E$2:$E$203),1))*(DATE(D122,MATCH(C122,{"Enero";"Febrero";"Marzo";"Abril";"Mayo";"Junio";"Julio";"Agosto";"Septiembre";"Octubre";"Noviembre";"Diciembre"},0),1)&lt;=DATE(YEAR(Contratos!$F$2:$F$203),MONTH(Contratos!$F$2:$F$203),1)),Contratos!$A$2:$A$203,"")</f>
        <v>01fb67ad-1898-47db-a814-5a658a723a89</v>
      </c>
      <c r="B122" t="s">
        <v>124</v>
      </c>
      <c r="C122" s="2" t="s">
        <v>50</v>
      </c>
      <c r="D122" s="12">
        <v>2025</v>
      </c>
      <c r="E122" s="9">
        <v>45910</v>
      </c>
      <c r="F122" t="s">
        <v>5</v>
      </c>
      <c r="G122">
        <v>1</v>
      </c>
      <c r="H122" t="s">
        <v>17</v>
      </c>
      <c r="I122" s="2">
        <v>673280</v>
      </c>
      <c r="J122" s="2">
        <v>65328</v>
      </c>
      <c r="K122" s="2">
        <v>20000</v>
      </c>
      <c r="L122" s="2">
        <f t="shared" si="8"/>
        <v>587952</v>
      </c>
    </row>
    <row r="123" spans="1:12" x14ac:dyDescent="0.25">
      <c r="A123" t="str" cm="1">
        <f t="array" ref="A123">_xlfn.XLOOKUP(1,(Contratos!$B$2:$B$203=H123)*(Contratos!$C$2:$C$203=F123)*(Contratos!$D$2:$D$203=G123)*(DATE(D123,MATCH(C123,{"Enero";"Febrero";"Marzo";"Abril";"Mayo";"Junio";"Julio";"Agosto";"Septiembre";"Octubre";"Noviembre";"Diciembre"},0),1)&gt;=DATE(YEAR(Contratos!$E$2:$E$203),MONTH(Contratos!$E$2:$E$203),1))*(DATE(D123,MATCH(C123,{"Enero";"Febrero";"Marzo";"Abril";"Mayo";"Junio";"Julio";"Agosto";"Septiembre";"Octubre";"Noviembre";"Diciembre"},0),1)&lt;=DATE(YEAR(Contratos!$F$2:$F$203),MONTH(Contratos!$F$2:$F$203),1)),Contratos!$A$2:$A$203,"")</f>
        <v>10959edc-7e2c-4e4e-b5ee-d6bdac93ae9e</v>
      </c>
      <c r="B123" t="s">
        <v>124</v>
      </c>
      <c r="C123" s="2" t="s">
        <v>50</v>
      </c>
      <c r="D123" s="12">
        <v>2025</v>
      </c>
      <c r="E123" s="9">
        <v>45910</v>
      </c>
      <c r="F123" t="s">
        <v>5</v>
      </c>
      <c r="G123">
        <v>2</v>
      </c>
      <c r="H123" t="s">
        <v>18</v>
      </c>
      <c r="I123" s="2">
        <v>670000</v>
      </c>
      <c r="J123" s="2">
        <v>65000</v>
      </c>
      <c r="K123" s="2">
        <v>20000</v>
      </c>
      <c r="L123" s="2">
        <f t="shared" si="8"/>
        <v>585000</v>
      </c>
    </row>
    <row r="124" spans="1:12" x14ac:dyDescent="0.25">
      <c r="A124" t="str" cm="1">
        <f t="array" ref="A124">_xlfn.XLOOKUP(1,(Contratos!$B$2:$B$203=H124)*(Contratos!$C$2:$C$203=F124)*(Contratos!$D$2:$D$203=G124)*(DATE(D124,MATCH(C124,{"Enero";"Febrero";"Marzo";"Abril";"Mayo";"Junio";"Julio";"Agosto";"Septiembre";"Octubre";"Noviembre";"Diciembre"},0),1)&gt;=DATE(YEAR(Contratos!$E$2:$E$203),MONTH(Contratos!$E$2:$E$203),1))*(DATE(D124,MATCH(C124,{"Enero";"Febrero";"Marzo";"Abril";"Mayo";"Junio";"Julio";"Agosto";"Septiembre";"Octubre";"Noviembre";"Diciembre"},0),1)&lt;=DATE(YEAR(Contratos!$F$2:$F$203),MONTH(Contratos!$F$2:$F$203),1)),Contratos!$A$2:$A$203,"")</f>
        <v>8dc982a8-8e30-4eb7-905c-fb55c4175ca4</v>
      </c>
      <c r="B124" t="s">
        <v>124</v>
      </c>
      <c r="C124" s="2" t="s">
        <v>50</v>
      </c>
      <c r="D124" s="12">
        <v>2025</v>
      </c>
      <c r="E124" s="9">
        <v>45910</v>
      </c>
      <c r="F124" t="s">
        <v>5</v>
      </c>
      <c r="G124">
        <v>4</v>
      </c>
      <c r="H124" t="s">
        <v>20</v>
      </c>
      <c r="I124" s="2">
        <v>600000</v>
      </c>
      <c r="J124" s="2">
        <v>63000</v>
      </c>
      <c r="K124" s="2">
        <v>20000</v>
      </c>
      <c r="L124" s="2">
        <f t="shared" si="8"/>
        <v>517000</v>
      </c>
    </row>
    <row r="125" spans="1:12" x14ac:dyDescent="0.25">
      <c r="A125" t="str" cm="1">
        <f t="array" ref="A125">_xlfn.XLOOKUP(1,(Contratos!$B$2:$B$203=H125)*(Contratos!$C$2:$C$203=F125)*(Contratos!$D$2:$D$203=G125)*(DATE(D125,MATCH(C125,{"Enero";"Febrero";"Marzo";"Abril";"Mayo";"Junio";"Julio";"Agosto";"Septiembre";"Octubre";"Noviembre";"Diciembre"},0),1)&gt;=DATE(YEAR(Contratos!$E$2:$E$203),MONTH(Contratos!$E$2:$E$203),1))*(DATE(D125,MATCH(C125,{"Enero";"Febrero";"Marzo";"Abril";"Mayo";"Junio";"Julio";"Agosto";"Septiembre";"Octubre";"Noviembre";"Diciembre"},0),1)&lt;=DATE(YEAR(Contratos!$F$2:$F$203),MONTH(Contratos!$F$2:$F$203),1)),Contratos!$A$2:$A$203,"")</f>
        <v>0f257e4c-3331-4e0e-869e-42c5a332a2a1</v>
      </c>
      <c r="B125" t="s">
        <v>124</v>
      </c>
      <c r="C125" s="2" t="s">
        <v>51</v>
      </c>
      <c r="D125" s="12">
        <v>2025</v>
      </c>
      <c r="E125" s="9">
        <v>45939</v>
      </c>
      <c r="F125" t="s">
        <v>2</v>
      </c>
      <c r="G125">
        <v>1</v>
      </c>
      <c r="H125" t="s">
        <v>7</v>
      </c>
      <c r="I125" s="2">
        <v>736400</v>
      </c>
      <c r="J125" s="2">
        <v>74640</v>
      </c>
      <c r="K125" s="2">
        <v>20000</v>
      </c>
      <c r="L125" s="2">
        <f>I125-SUM(J125:K125)</f>
        <v>641760</v>
      </c>
    </row>
    <row r="126" spans="1:12" x14ac:dyDescent="0.25">
      <c r="A126" t="str" cm="1">
        <f t="array" ref="A126">_xlfn.XLOOKUP(1,(Contratos!$B$2:$B$203=H126)*(Contratos!$C$2:$C$203=F126)*(Contratos!$D$2:$D$203=G126)*(DATE(D126,MATCH(C126,{"Enero";"Febrero";"Marzo";"Abril";"Mayo";"Junio";"Julio";"Agosto";"Septiembre";"Octubre";"Noviembre";"Diciembre"},0),1)&gt;=DATE(YEAR(Contratos!$E$2:$E$203),MONTH(Contratos!$E$2:$E$203),1))*(DATE(D126,MATCH(C126,{"Enero";"Febrero";"Marzo";"Abril";"Mayo";"Junio";"Julio";"Agosto";"Septiembre";"Octubre";"Noviembre";"Diciembre"},0),1)&lt;=DATE(YEAR(Contratos!$F$2:$F$203),MONTH(Contratos!$F$2:$F$203),1)),Contratos!$A$2:$A$203,"")</f>
        <v>0d8d157d-f9ab-4cd6-ac8a-7ed1a74a6746</v>
      </c>
      <c r="B126" t="s">
        <v>124</v>
      </c>
      <c r="C126" s="2" t="s">
        <v>51</v>
      </c>
      <c r="D126" s="12">
        <v>2025</v>
      </c>
      <c r="E126" s="9">
        <v>45939</v>
      </c>
      <c r="F126" t="s">
        <v>2</v>
      </c>
      <c r="G126">
        <v>2</v>
      </c>
      <c r="H126" t="s">
        <v>8</v>
      </c>
      <c r="I126" s="2">
        <v>662700</v>
      </c>
      <c r="J126" s="2">
        <v>64270</v>
      </c>
      <c r="K126" s="2">
        <v>20000</v>
      </c>
      <c r="L126" s="2">
        <f t="shared" ref="L126:L139" si="9">I126-SUM(J126:K126)</f>
        <v>578430</v>
      </c>
    </row>
    <row r="127" spans="1:12" x14ac:dyDescent="0.25">
      <c r="A127" t="str" cm="1">
        <f t="array" ref="A127">_xlfn.XLOOKUP(1,(Contratos!$B$2:$B$203=H127)*(Contratos!$C$2:$C$203=F127)*(Contratos!$D$2:$D$203=G127)*(DATE(D127,MATCH(C127,{"Enero";"Febrero";"Marzo";"Abril";"Mayo";"Junio";"Julio";"Agosto";"Septiembre";"Octubre";"Noviembre";"Diciembre"},0),1)&gt;=DATE(YEAR(Contratos!$E$2:$E$203),MONTH(Contratos!$E$2:$E$203),1))*(DATE(D127,MATCH(C127,{"Enero";"Febrero";"Marzo";"Abril";"Mayo";"Junio";"Julio";"Agosto";"Septiembre";"Octubre";"Noviembre";"Diciembre"},0),1)&lt;=DATE(YEAR(Contratos!$F$2:$F$203),MONTH(Contratos!$F$2:$F$203),1)),Contratos!$A$2:$A$203,"")</f>
        <v>3222d3e6-2b5b-4103-bc55-29e39c33ca84</v>
      </c>
      <c r="B127" t="s">
        <v>124</v>
      </c>
      <c r="C127" s="2" t="s">
        <v>51</v>
      </c>
      <c r="D127" s="12">
        <v>2025</v>
      </c>
      <c r="E127" s="9">
        <v>45939</v>
      </c>
      <c r="F127" t="s">
        <v>2</v>
      </c>
      <c r="G127">
        <v>3</v>
      </c>
      <c r="H127" t="s">
        <v>9</v>
      </c>
      <c r="I127" s="2">
        <v>631200</v>
      </c>
      <c r="J127" s="2">
        <v>63120</v>
      </c>
      <c r="K127" s="2">
        <v>0</v>
      </c>
      <c r="L127" s="2">
        <f t="shared" si="9"/>
        <v>568080</v>
      </c>
    </row>
    <row r="128" spans="1:12" x14ac:dyDescent="0.25">
      <c r="A128" t="str" cm="1">
        <f t="array" ref="A128">_xlfn.XLOOKUP(1,(Contratos!$B$2:$B$203=H128)*(Contratos!$C$2:$C$203=F128)*(Contratos!$D$2:$D$203=G128)*(DATE(D128,MATCH(C128,{"Enero";"Febrero";"Marzo";"Abril";"Mayo";"Junio";"Julio";"Agosto";"Septiembre";"Octubre";"Noviembre";"Diciembre"},0),1)&gt;=DATE(YEAR(Contratos!$E$2:$E$203),MONTH(Contratos!$E$2:$E$203),1))*(DATE(D128,MATCH(C128,{"Enero";"Febrero";"Marzo";"Abril";"Mayo";"Junio";"Julio";"Agosto";"Septiembre";"Octubre";"Noviembre";"Diciembre"},0),1)&lt;=DATE(YEAR(Contratos!$F$2:$F$203),MONTH(Contratos!$F$2:$F$203),1)),Contratos!$A$2:$A$203,"")</f>
        <v>1f5eb474-0cc5-4f59-bde6-8b6fb39d4b29</v>
      </c>
      <c r="B128" t="s">
        <v>124</v>
      </c>
      <c r="C128" s="2" t="s">
        <v>51</v>
      </c>
      <c r="D128" s="12">
        <v>2025</v>
      </c>
      <c r="E128" s="9">
        <v>45939</v>
      </c>
      <c r="F128" t="s">
        <v>3</v>
      </c>
      <c r="G128">
        <v>1</v>
      </c>
      <c r="H128" t="s">
        <v>26</v>
      </c>
      <c r="I128" s="2">
        <v>800000</v>
      </c>
      <c r="J128" s="2">
        <v>78000</v>
      </c>
      <c r="K128" s="2">
        <v>20000</v>
      </c>
      <c r="L128" s="2">
        <f t="shared" si="9"/>
        <v>702000</v>
      </c>
    </row>
    <row r="129" spans="1:12" x14ac:dyDescent="0.25">
      <c r="A129" t="str" cm="1">
        <f t="array" ref="A129">_xlfn.XLOOKUP(1,(Contratos!$B$2:$B$203=H129)*(Contratos!$C$2:$C$203=F129)*(Contratos!$D$2:$D$203=G129)*(DATE(D129,MATCH(C129,{"Enero";"Febrero";"Marzo";"Abril";"Mayo";"Junio";"Julio";"Agosto";"Septiembre";"Octubre";"Noviembre";"Diciembre"},0),1)&gt;=DATE(YEAR(Contratos!$E$2:$E$203),MONTH(Contratos!$E$2:$E$203),1))*(DATE(D129,MATCH(C129,{"Enero";"Febrero";"Marzo";"Abril";"Mayo";"Junio";"Julio";"Agosto";"Septiembre";"Octubre";"Noviembre";"Diciembre"},0),1)&lt;=DATE(YEAR(Contratos!$F$2:$F$203),MONTH(Contratos!$F$2:$F$203),1)),Contratos!$A$2:$A$203,"")</f>
        <v>e725ef85-824a-4f9c-b7c6-445df4612ef0</v>
      </c>
      <c r="B129" t="s">
        <v>124</v>
      </c>
      <c r="C129" s="2" t="s">
        <v>51</v>
      </c>
      <c r="D129" s="12">
        <v>2025</v>
      </c>
      <c r="E129" s="9">
        <v>45939</v>
      </c>
      <c r="F129" t="s">
        <v>3</v>
      </c>
      <c r="G129">
        <v>2</v>
      </c>
      <c r="H129" t="s">
        <v>11</v>
      </c>
      <c r="I129" s="2">
        <v>688000</v>
      </c>
      <c r="J129" s="2">
        <v>66800</v>
      </c>
      <c r="K129" s="2">
        <v>20000</v>
      </c>
      <c r="L129" s="2">
        <f t="shared" si="9"/>
        <v>601200</v>
      </c>
    </row>
    <row r="130" spans="1:12" x14ac:dyDescent="0.25">
      <c r="A130" t="str" cm="1">
        <f t="array" ref="A130">_xlfn.XLOOKUP(1,(Contratos!$B$2:$B$203=H130)*(Contratos!$C$2:$C$203=F130)*(Contratos!$D$2:$D$203=G130)*(DATE(D130,MATCH(C130,{"Enero";"Febrero";"Marzo";"Abril";"Mayo";"Junio";"Julio";"Agosto";"Septiembre";"Octubre";"Noviembre";"Diciembre"},0),1)&gt;=DATE(YEAR(Contratos!$E$2:$E$203),MONTH(Contratos!$E$2:$E$203),1))*(DATE(D130,MATCH(C130,{"Enero";"Febrero";"Marzo";"Abril";"Mayo";"Junio";"Julio";"Agosto";"Septiembre";"Octubre";"Noviembre";"Diciembre"},0),1)&lt;=DATE(YEAR(Contratos!$F$2:$F$203),MONTH(Contratos!$F$2:$F$203),1)),Contratos!$A$2:$A$203,"")</f>
        <v>652336e7-90e6-4346-a1db-9c99b994afe6</v>
      </c>
      <c r="B130" t="s">
        <v>124</v>
      </c>
      <c r="C130" s="2" t="s">
        <v>51</v>
      </c>
      <c r="D130" s="12">
        <v>2025</v>
      </c>
      <c r="E130" s="9">
        <v>45939</v>
      </c>
      <c r="F130" t="s">
        <v>3</v>
      </c>
      <c r="G130">
        <v>3</v>
      </c>
      <c r="H130" t="s">
        <v>12</v>
      </c>
      <c r="I130" s="2">
        <v>632200</v>
      </c>
      <c r="J130" s="2">
        <v>61220</v>
      </c>
      <c r="K130" s="2">
        <v>20000</v>
      </c>
      <c r="L130" s="2">
        <f t="shared" si="9"/>
        <v>550980</v>
      </c>
    </row>
    <row r="131" spans="1:12" x14ac:dyDescent="0.25">
      <c r="A131" t="str" cm="1">
        <f t="array" ref="A131">_xlfn.XLOOKUP(1,(Contratos!$B$2:$B$203=H131)*(Contratos!$C$2:$C$203=F131)*(Contratos!$D$2:$D$203=G131)*(DATE(D131,MATCH(C131,{"Enero";"Febrero";"Marzo";"Abril";"Mayo";"Junio";"Julio";"Agosto";"Septiembre";"Octubre";"Noviembre";"Diciembre"},0),1)&gt;=DATE(YEAR(Contratos!$E$2:$E$203),MONTH(Contratos!$E$2:$E$203),1))*(DATE(D131,MATCH(C131,{"Enero";"Febrero";"Marzo";"Abril";"Mayo";"Junio";"Julio";"Agosto";"Septiembre";"Octubre";"Noviembre";"Diciembre"},0),1)&lt;=DATE(YEAR(Contratos!$F$2:$F$203),MONTH(Contratos!$F$2:$F$203),1)),Contratos!$A$2:$A$203,"")</f>
        <v>02c61008-4e84-43c2-88b5-08e054eb6049</v>
      </c>
      <c r="B131" t="s">
        <v>124</v>
      </c>
      <c r="C131" s="2" t="s">
        <v>51</v>
      </c>
      <c r="D131" s="12">
        <v>2025</v>
      </c>
      <c r="E131" s="9">
        <v>45939</v>
      </c>
      <c r="F131" t="s">
        <v>4</v>
      </c>
      <c r="G131">
        <v>1</v>
      </c>
      <c r="H131" t="s">
        <v>27</v>
      </c>
      <c r="I131" s="2">
        <v>850000</v>
      </c>
      <c r="J131" s="2">
        <v>83000</v>
      </c>
      <c r="K131" s="2">
        <v>20000</v>
      </c>
      <c r="L131" s="2">
        <f t="shared" si="9"/>
        <v>747000</v>
      </c>
    </row>
    <row r="132" spans="1:12" x14ac:dyDescent="0.25">
      <c r="A132" t="str" cm="1">
        <f t="array" ref="A132">_xlfn.XLOOKUP(1,(Contratos!$B$2:$B$203=H132)*(Contratos!$C$2:$C$203=F132)*(Contratos!$D$2:$D$203=G132)*(DATE(D132,MATCH(C132,{"Enero";"Febrero";"Marzo";"Abril";"Mayo";"Junio";"Julio";"Agosto";"Septiembre";"Octubre";"Noviembre";"Diciembre"},0),1)&gt;=DATE(YEAR(Contratos!$E$2:$E$203),MONTH(Contratos!$E$2:$E$203),1))*(DATE(D132,MATCH(C132,{"Enero";"Febrero";"Marzo";"Abril";"Mayo";"Junio";"Julio";"Agosto";"Septiembre";"Octubre";"Noviembre";"Diciembre"},0),1)&lt;=DATE(YEAR(Contratos!$F$2:$F$203),MONTH(Contratos!$F$2:$F$203),1)),Contratos!$A$2:$A$203,"")</f>
        <v>359216a7-8ba9-4e24-8cac-7dc225c9d6e1</v>
      </c>
      <c r="B132" t="s">
        <v>124</v>
      </c>
      <c r="C132" s="2" t="s">
        <v>51</v>
      </c>
      <c r="D132" s="12">
        <v>2025</v>
      </c>
      <c r="E132" s="9">
        <v>45939</v>
      </c>
      <c r="F132" t="s">
        <v>4</v>
      </c>
      <c r="G132">
        <v>2</v>
      </c>
      <c r="H132" t="s">
        <v>14</v>
      </c>
      <c r="I132" s="2">
        <v>803700</v>
      </c>
      <c r="J132" s="2">
        <v>78370</v>
      </c>
      <c r="K132" s="2">
        <v>20000</v>
      </c>
      <c r="L132" s="2">
        <f t="shared" si="9"/>
        <v>705330</v>
      </c>
    </row>
    <row r="133" spans="1:12" x14ac:dyDescent="0.25">
      <c r="A133" t="str" cm="1">
        <f t="array" ref="A133">_xlfn.XLOOKUP(1,(Contratos!$B$2:$B$203=H133)*(Contratos!$C$2:$C$203=F133)*(Contratos!$D$2:$D$203=G133)*(DATE(D133,MATCH(C133,{"Enero";"Febrero";"Marzo";"Abril";"Mayo";"Junio";"Julio";"Agosto";"Septiembre";"Octubre";"Noviembre";"Diciembre"},0),1)&gt;=DATE(YEAR(Contratos!$E$2:$E$203),MONTH(Contratos!$E$2:$E$203),1))*(DATE(D133,MATCH(C133,{"Enero";"Febrero";"Marzo";"Abril";"Mayo";"Junio";"Julio";"Agosto";"Septiembre";"Octubre";"Noviembre";"Diciembre"},0),1)&lt;=DATE(YEAR(Contratos!$F$2:$F$203),MONTH(Contratos!$F$2:$F$203),1)),Contratos!$A$2:$A$203,"")</f>
        <v>ae88cdb7-93b0-42cd-bda5-e4576643e9c7</v>
      </c>
      <c r="B133" t="s">
        <v>124</v>
      </c>
      <c r="C133" s="2" t="s">
        <v>51</v>
      </c>
      <c r="D133" s="12">
        <v>2025</v>
      </c>
      <c r="E133" s="9">
        <v>45939</v>
      </c>
      <c r="F133" t="s">
        <v>4</v>
      </c>
      <c r="G133">
        <v>3</v>
      </c>
      <c r="H133" t="s">
        <v>15</v>
      </c>
      <c r="I133" s="2">
        <v>700000</v>
      </c>
      <c r="J133" s="2">
        <v>68000</v>
      </c>
      <c r="K133" s="2">
        <v>20000</v>
      </c>
      <c r="L133" s="2">
        <f t="shared" si="9"/>
        <v>612000</v>
      </c>
    </row>
    <row r="134" spans="1:12" x14ac:dyDescent="0.25">
      <c r="A134" t="str" cm="1">
        <f t="array" ref="A134">_xlfn.XLOOKUP(1,(Contratos!$B$2:$B$203=H134)*(Contratos!$C$2:$C$203=F134)*(Contratos!$D$2:$D$203=G134)*(DATE(D134,MATCH(C134,{"Enero";"Febrero";"Marzo";"Abril";"Mayo";"Junio";"Julio";"Agosto";"Septiembre";"Octubre";"Noviembre";"Diciembre"},0),1)&gt;=DATE(YEAR(Contratos!$E$2:$E$203),MONTH(Contratos!$E$2:$E$203),1))*(DATE(D134,MATCH(C134,{"Enero";"Febrero";"Marzo";"Abril";"Mayo";"Junio";"Julio";"Agosto";"Septiembre";"Octubre";"Noviembre";"Diciembre"},0),1)&lt;=DATE(YEAR(Contratos!$F$2:$F$203),MONTH(Contratos!$F$2:$F$203),1)),Contratos!$A$2:$A$203,"")</f>
        <v>b934fcd1-5390-4b7c-b3bc-4a642a1d7f9e</v>
      </c>
      <c r="B134" t="s">
        <v>124</v>
      </c>
      <c r="C134" s="2" t="s">
        <v>51</v>
      </c>
      <c r="D134" s="12">
        <v>2025</v>
      </c>
      <c r="E134" s="9">
        <v>45939</v>
      </c>
      <c r="F134" t="s">
        <v>4</v>
      </c>
      <c r="G134">
        <v>4</v>
      </c>
      <c r="H134" t="s">
        <v>28</v>
      </c>
      <c r="I134" s="2">
        <v>650000</v>
      </c>
      <c r="J134" s="2">
        <v>63000</v>
      </c>
      <c r="K134" s="2">
        <v>20000</v>
      </c>
      <c r="L134" s="2">
        <f t="shared" si="9"/>
        <v>567000</v>
      </c>
    </row>
    <row r="135" spans="1:12" x14ac:dyDescent="0.25">
      <c r="A135" t="str" cm="1">
        <f t="array" ref="A135">_xlfn.XLOOKUP(1,(Contratos!$B$2:$B$203=H135)*(Contratos!$C$2:$C$203=F135)*(Contratos!$D$2:$D$203=G135)*(DATE(D135,MATCH(C135,{"Enero";"Febrero";"Marzo";"Abril";"Mayo";"Junio";"Julio";"Agosto";"Septiembre";"Octubre";"Noviembre";"Diciembre"},0),1)&gt;=DATE(YEAR(Contratos!$E$2:$E$203),MONTH(Contratos!$E$2:$E$203),1))*(DATE(D135,MATCH(C135,{"Enero";"Febrero";"Marzo";"Abril";"Mayo";"Junio";"Julio";"Agosto";"Septiembre";"Octubre";"Noviembre";"Diciembre"},0),1)&lt;=DATE(YEAR(Contratos!$F$2:$F$203),MONTH(Contratos!$F$2:$F$203),1)),Contratos!$A$2:$A$203,"")</f>
        <v>01fb67ad-1898-47db-a814-5a658a723a89</v>
      </c>
      <c r="B135" t="s">
        <v>124</v>
      </c>
      <c r="C135" s="2" t="s">
        <v>51</v>
      </c>
      <c r="D135" s="12">
        <v>2025</v>
      </c>
      <c r="E135" s="9">
        <v>45939</v>
      </c>
      <c r="F135" t="s">
        <v>5</v>
      </c>
      <c r="G135">
        <v>1</v>
      </c>
      <c r="H135" t="s">
        <v>17</v>
      </c>
      <c r="I135" s="2">
        <v>673280</v>
      </c>
      <c r="J135" s="2">
        <v>65328</v>
      </c>
      <c r="K135" s="2">
        <v>20000</v>
      </c>
      <c r="L135" s="2">
        <f t="shared" si="9"/>
        <v>587952</v>
      </c>
    </row>
    <row r="136" spans="1:12" x14ac:dyDescent="0.25">
      <c r="A136" t="str" cm="1">
        <f t="array" ref="A136">_xlfn.XLOOKUP(1,(Contratos!$B$2:$B$203=H136)*(Contratos!$C$2:$C$203=F136)*(Contratos!$D$2:$D$203=G136)*(DATE(D136,MATCH(C136,{"Enero";"Febrero";"Marzo";"Abril";"Mayo";"Junio";"Julio";"Agosto";"Septiembre";"Octubre";"Noviembre";"Diciembre"},0),1)&gt;=DATE(YEAR(Contratos!$E$2:$E$203),MONTH(Contratos!$E$2:$E$203),1))*(DATE(D136,MATCH(C136,{"Enero";"Febrero";"Marzo";"Abril";"Mayo";"Junio";"Julio";"Agosto";"Septiembre";"Octubre";"Noviembre";"Diciembre"},0),1)&lt;=DATE(YEAR(Contratos!$F$2:$F$203),MONTH(Contratos!$F$2:$F$203),1)),Contratos!$A$2:$A$203,"")</f>
        <v>10959edc-7e2c-4e4e-b5ee-d6bdac93ae9e</v>
      </c>
      <c r="B136" t="s">
        <v>124</v>
      </c>
      <c r="C136" s="2" t="s">
        <v>51</v>
      </c>
      <c r="D136" s="12">
        <v>2025</v>
      </c>
      <c r="E136" s="9">
        <v>45939</v>
      </c>
      <c r="F136" t="s">
        <v>5</v>
      </c>
      <c r="G136">
        <v>2</v>
      </c>
      <c r="H136" t="s">
        <v>18</v>
      </c>
      <c r="I136" s="2">
        <v>704800</v>
      </c>
      <c r="J136" s="2">
        <v>68480</v>
      </c>
      <c r="K136" s="2">
        <v>20000</v>
      </c>
      <c r="L136" s="2">
        <f t="shared" si="9"/>
        <v>616320</v>
      </c>
    </row>
    <row r="137" spans="1:12" x14ac:dyDescent="0.25">
      <c r="A137" t="str" cm="1">
        <f t="array" ref="A137">_xlfn.XLOOKUP(1,(Contratos!$B$2:$B$203=H137)*(Contratos!$C$2:$C$203=F137)*(Contratos!$D$2:$D$203=G137)*(DATE(D137,MATCH(C137,{"Enero";"Febrero";"Marzo";"Abril";"Mayo";"Junio";"Julio";"Agosto";"Septiembre";"Octubre";"Noviembre";"Diciembre"},0),1)&gt;=DATE(YEAR(Contratos!$E$2:$E$203),MONTH(Contratos!$E$2:$E$203),1))*(DATE(D137,MATCH(C137,{"Enero";"Febrero";"Marzo";"Abril";"Mayo";"Junio";"Julio";"Agosto";"Septiembre";"Octubre";"Noviembre";"Diciembre"},0),1)&lt;=DATE(YEAR(Contratos!$F$2:$F$203),MONTH(Contratos!$F$2:$F$203),1)),Contratos!$A$2:$A$203,"")</f>
        <v>2aaff763-f744-410b-9718-249c5a655998</v>
      </c>
      <c r="B137" t="s">
        <v>124</v>
      </c>
      <c r="C137" s="2" t="s">
        <v>51</v>
      </c>
      <c r="D137" s="12">
        <v>2025</v>
      </c>
      <c r="E137" s="9">
        <v>45939</v>
      </c>
      <c r="F137" t="s">
        <v>5</v>
      </c>
      <c r="G137">
        <v>3</v>
      </c>
      <c r="H137" t="s">
        <v>29</v>
      </c>
      <c r="I137" s="2">
        <v>680000</v>
      </c>
      <c r="J137" s="2">
        <v>66000</v>
      </c>
      <c r="K137" s="2">
        <v>0</v>
      </c>
      <c r="L137" s="2">
        <f t="shared" si="9"/>
        <v>614000</v>
      </c>
    </row>
    <row r="138" spans="1:12" x14ac:dyDescent="0.25">
      <c r="A138" t="str" cm="1">
        <f t="array" ref="A138">_xlfn.XLOOKUP(1,(Contratos!$B$2:$B$203=H138)*(Contratos!$C$2:$C$203=F138)*(Contratos!$D$2:$D$203=G138)*(DATE(D138,MATCH(C138,{"Enero";"Febrero";"Marzo";"Abril";"Mayo";"Junio";"Julio";"Agosto";"Septiembre";"Octubre";"Noviembre";"Diciembre"},0),1)&gt;=DATE(YEAR(Contratos!$E$2:$E$203),MONTH(Contratos!$E$2:$E$203),1))*(DATE(D138,MATCH(C138,{"Enero";"Febrero";"Marzo";"Abril";"Mayo";"Junio";"Julio";"Agosto";"Septiembre";"Octubre";"Noviembre";"Diciembre"},0),1)&lt;=DATE(YEAR(Contratos!$F$2:$F$203),MONTH(Contratos!$F$2:$F$203),1)),Contratos!$A$2:$A$203,"")</f>
        <v>2aaff763-f744-410b-9718-249c5a655998</v>
      </c>
      <c r="B138" t="s">
        <v>125</v>
      </c>
      <c r="C138" s="2" t="s">
        <v>51</v>
      </c>
      <c r="D138" s="12">
        <v>2025</v>
      </c>
      <c r="E138" s="9">
        <v>45939</v>
      </c>
      <c r="F138" t="s">
        <v>5</v>
      </c>
      <c r="G138">
        <v>3</v>
      </c>
      <c r="H138" t="s">
        <v>29</v>
      </c>
      <c r="I138" s="8">
        <v>113333</v>
      </c>
      <c r="J138" s="2">
        <v>0</v>
      </c>
      <c r="K138" s="2">
        <v>0</v>
      </c>
      <c r="L138" s="2">
        <f t="shared" ref="L138" si="10">I138-SUM(J138:K138)</f>
        <v>113333</v>
      </c>
    </row>
    <row r="139" spans="1:12" x14ac:dyDescent="0.25">
      <c r="A139" t="str" cm="1">
        <f t="array" ref="A139">_xlfn.XLOOKUP(1,(Contratos!$B$2:$B$203=H139)*(Contratos!$C$2:$C$203=F139)*(Contratos!$D$2:$D$203=G139)*(DATE(D139,MATCH(C139,{"Enero";"Febrero";"Marzo";"Abril";"Mayo";"Junio";"Julio";"Agosto";"Septiembre";"Octubre";"Noviembre";"Diciembre"},0),1)&gt;=DATE(YEAR(Contratos!$E$2:$E$203),MONTH(Contratos!$E$2:$E$203),1))*(DATE(D139,MATCH(C139,{"Enero";"Febrero";"Marzo";"Abril";"Mayo";"Junio";"Julio";"Agosto";"Septiembre";"Octubre";"Noviembre";"Diciembre"},0),1)&lt;=DATE(YEAR(Contratos!$F$2:$F$203),MONTH(Contratos!$F$2:$F$203),1)),Contratos!$A$2:$A$203,"")</f>
        <v>8dc982a8-8e30-4eb7-905c-fb55c4175ca4</v>
      </c>
      <c r="B139" t="s">
        <v>124</v>
      </c>
      <c r="C139" s="2" t="s">
        <v>51</v>
      </c>
      <c r="D139" s="12">
        <v>2025</v>
      </c>
      <c r="E139" s="9">
        <v>45939</v>
      </c>
      <c r="F139" t="s">
        <v>5</v>
      </c>
      <c r="G139">
        <v>4</v>
      </c>
      <c r="H139" t="s">
        <v>20</v>
      </c>
      <c r="I139" s="2">
        <v>631200</v>
      </c>
      <c r="J139" s="2">
        <v>61120</v>
      </c>
      <c r="K139" s="2">
        <v>20000</v>
      </c>
      <c r="L139" s="2">
        <f t="shared" si="9"/>
        <v>550080</v>
      </c>
    </row>
    <row r="140" spans="1:12" x14ac:dyDescent="0.25">
      <c r="A140" t="str" cm="1">
        <f t="array" ref="A140">_xlfn.XLOOKUP(1,(Contratos!$B$2:$B$203=H140)*(Contratos!$C$2:$C$203=F140)*(Contratos!$D$2:$D$203=G140)*(DATE(D140,MATCH(C140,{"Enero";"Febrero";"Marzo";"Abril";"Mayo";"Junio";"Julio";"Agosto";"Septiembre";"Octubre";"Noviembre";"Diciembre"},0),1)&gt;=DATE(YEAR(Contratos!$E$2:$E$203),MONTH(Contratos!$E$2:$E$203),1))*(DATE(D140,MATCH(C140,{"Enero";"Febrero";"Marzo";"Abril";"Mayo";"Junio";"Julio";"Agosto";"Septiembre";"Octubre";"Noviembre";"Diciembre"},0),1)&lt;=DATE(YEAR(Contratos!$F$2:$F$203),MONTH(Contratos!$F$2:$F$203),1)),Contratos!$A$2:$A$203,"")</f>
        <v>3dcc043e-cebd-4562-843a-73004bc5a5fb</v>
      </c>
      <c r="B140" t="s">
        <v>124</v>
      </c>
      <c r="C140" s="2" t="s">
        <v>52</v>
      </c>
      <c r="D140" s="12">
        <v>2025</v>
      </c>
      <c r="E140" s="9">
        <v>45969</v>
      </c>
      <c r="F140" t="s">
        <v>2</v>
      </c>
      <c r="G140">
        <v>1</v>
      </c>
      <c r="H140" t="s">
        <v>7</v>
      </c>
      <c r="I140" s="2">
        <v>736400</v>
      </c>
      <c r="J140" s="2">
        <v>74640</v>
      </c>
      <c r="K140" s="2">
        <v>20000</v>
      </c>
      <c r="L140" s="2">
        <f>I140-SUM(J140:K140)</f>
        <v>641760</v>
      </c>
    </row>
    <row r="141" spans="1:12" x14ac:dyDescent="0.25">
      <c r="A141" t="str" cm="1">
        <f t="array" ref="A141">_xlfn.XLOOKUP(1,(Contratos!$B$2:$B$203=H141)*(Contratos!$C$2:$C$203=F141)*(Contratos!$D$2:$D$203=G141)*(DATE(D141,MATCH(C141,{"Enero";"Febrero";"Marzo";"Abril";"Mayo";"Junio";"Julio";"Agosto";"Septiembre";"Octubre";"Noviembre";"Diciembre"},0),1)&gt;=DATE(YEAR(Contratos!$E$2:$E$203),MONTH(Contratos!$E$2:$E$203),1))*(DATE(D141,MATCH(C141,{"Enero";"Febrero";"Marzo";"Abril";"Mayo";"Junio";"Julio";"Agosto";"Septiembre";"Octubre";"Noviembre";"Diciembre"},0),1)&lt;=DATE(YEAR(Contratos!$F$2:$F$203),MONTH(Contratos!$F$2:$F$203),1)),Contratos!$A$2:$A$203,"")</f>
        <v>0d8d157d-f9ab-4cd6-ac8a-7ed1a74a6746</v>
      </c>
      <c r="B141" t="s">
        <v>124</v>
      </c>
      <c r="C141" s="2" t="s">
        <v>52</v>
      </c>
      <c r="D141" s="12">
        <v>2025</v>
      </c>
      <c r="E141" s="9">
        <v>45969</v>
      </c>
      <c r="F141" t="s">
        <v>2</v>
      </c>
      <c r="G141">
        <v>2</v>
      </c>
      <c r="H141" t="s">
        <v>8</v>
      </c>
      <c r="I141" s="2">
        <v>662700</v>
      </c>
      <c r="J141" s="2">
        <v>64270</v>
      </c>
      <c r="K141" s="2">
        <v>20000</v>
      </c>
      <c r="L141" s="2">
        <f t="shared" ref="L141:L153" si="11">I141-SUM(J141:K141)</f>
        <v>578430</v>
      </c>
    </row>
    <row r="142" spans="1:12" x14ac:dyDescent="0.25">
      <c r="A142" t="str" cm="1">
        <f t="array" ref="A142">_xlfn.XLOOKUP(1,(Contratos!$B$2:$B$203=H142)*(Contratos!$C$2:$C$203=F142)*(Contratos!$D$2:$D$203=G142)*(DATE(D142,MATCH(C142,{"Enero";"Febrero";"Marzo";"Abril";"Mayo";"Junio";"Julio";"Agosto";"Septiembre";"Octubre";"Noviembre";"Diciembre"},0),1)&gt;=DATE(YEAR(Contratos!$E$2:$E$203),MONTH(Contratos!$E$2:$E$203),1))*(DATE(D142,MATCH(C142,{"Enero";"Febrero";"Marzo";"Abril";"Mayo";"Junio";"Julio";"Agosto";"Septiembre";"Octubre";"Noviembre";"Diciembre"},0),1)&lt;=DATE(YEAR(Contratos!$F$2:$F$203),MONTH(Contratos!$F$2:$F$203),1)),Contratos!$A$2:$A$203,"")</f>
        <v>3222d3e6-2b5b-4103-bc55-29e39c33ca84</v>
      </c>
      <c r="B142" t="s">
        <v>124</v>
      </c>
      <c r="C142" s="2" t="s">
        <v>52</v>
      </c>
      <c r="D142" s="12">
        <v>2025</v>
      </c>
      <c r="E142" s="9">
        <v>45969</v>
      </c>
      <c r="F142" t="s">
        <v>2</v>
      </c>
      <c r="G142">
        <v>3</v>
      </c>
      <c r="H142" t="s">
        <v>9</v>
      </c>
      <c r="I142" s="2">
        <v>631200</v>
      </c>
      <c r="J142" s="2">
        <v>63120</v>
      </c>
      <c r="K142" s="2">
        <v>0</v>
      </c>
      <c r="L142" s="2">
        <f t="shared" si="11"/>
        <v>568080</v>
      </c>
    </row>
    <row r="143" spans="1:12" x14ac:dyDescent="0.25">
      <c r="A143" t="str" cm="1">
        <f t="array" ref="A143">_xlfn.XLOOKUP(1,(Contratos!$B$2:$B$203=H143)*(Contratos!$C$2:$C$203=F143)*(Contratos!$D$2:$D$203=G143)*(DATE(D143,MATCH(C143,{"Enero";"Febrero";"Marzo";"Abril";"Mayo";"Junio";"Julio";"Agosto";"Septiembre";"Octubre";"Noviembre";"Diciembre"},0),1)&gt;=DATE(YEAR(Contratos!$E$2:$E$203),MONTH(Contratos!$E$2:$E$203),1))*(DATE(D143,MATCH(C143,{"Enero";"Febrero";"Marzo";"Abril";"Mayo";"Junio";"Julio";"Agosto";"Septiembre";"Octubre";"Noviembre";"Diciembre"},0),1)&lt;=DATE(YEAR(Contratos!$F$2:$F$203),MONTH(Contratos!$F$2:$F$203),1)),Contratos!$A$2:$A$203,"")</f>
        <v>1f5eb474-0cc5-4f59-bde6-8b6fb39d4b29</v>
      </c>
      <c r="B143" t="s">
        <v>124</v>
      </c>
      <c r="C143" s="2" t="s">
        <v>52</v>
      </c>
      <c r="D143" s="12">
        <v>2025</v>
      </c>
      <c r="E143" s="9">
        <v>45969</v>
      </c>
      <c r="F143" t="s">
        <v>3</v>
      </c>
      <c r="G143">
        <v>1</v>
      </c>
      <c r="H143" t="s">
        <v>26</v>
      </c>
      <c r="I143" s="2">
        <v>800000</v>
      </c>
      <c r="J143" s="2">
        <v>78000</v>
      </c>
      <c r="K143" s="2">
        <v>20000</v>
      </c>
      <c r="L143" s="2">
        <f t="shared" si="11"/>
        <v>702000</v>
      </c>
    </row>
    <row r="144" spans="1:12" x14ac:dyDescent="0.25">
      <c r="A144" t="str" cm="1">
        <f t="array" ref="A144">_xlfn.XLOOKUP(1,(Contratos!$B$2:$B$203=H144)*(Contratos!$C$2:$C$203=F144)*(Contratos!$D$2:$D$203=G144)*(DATE(D144,MATCH(C144,{"Enero";"Febrero";"Marzo";"Abril";"Mayo";"Junio";"Julio";"Agosto";"Septiembre";"Octubre";"Noviembre";"Diciembre"},0),1)&gt;=DATE(YEAR(Contratos!$E$2:$E$203),MONTH(Contratos!$E$2:$E$203),1))*(DATE(D144,MATCH(C144,{"Enero";"Febrero";"Marzo";"Abril";"Mayo";"Junio";"Julio";"Agosto";"Septiembre";"Octubre";"Noviembre";"Diciembre"},0),1)&lt;=DATE(YEAR(Contratos!$F$2:$F$203),MONTH(Contratos!$F$2:$F$203),1)),Contratos!$A$2:$A$203,"")</f>
        <v>e725ef85-824a-4f9c-b7c6-445df4612ef0</v>
      </c>
      <c r="B144" t="s">
        <v>124</v>
      </c>
      <c r="C144" s="2" t="s">
        <v>52</v>
      </c>
      <c r="D144" s="12">
        <v>2025</v>
      </c>
      <c r="E144" s="9">
        <v>45969</v>
      </c>
      <c r="F144" t="s">
        <v>3</v>
      </c>
      <c r="G144">
        <v>2</v>
      </c>
      <c r="H144" t="s">
        <v>11</v>
      </c>
      <c r="I144" s="2">
        <v>688000</v>
      </c>
      <c r="J144" s="2">
        <v>66800</v>
      </c>
      <c r="K144" s="2">
        <v>20000</v>
      </c>
      <c r="L144" s="2">
        <f t="shared" si="11"/>
        <v>601200</v>
      </c>
    </row>
    <row r="145" spans="1:12" x14ac:dyDescent="0.25">
      <c r="A145" t="str" cm="1">
        <f t="array" ref="A145">_xlfn.XLOOKUP(1,(Contratos!$B$2:$B$203=H145)*(Contratos!$C$2:$C$203=F145)*(Contratos!$D$2:$D$203=G145)*(DATE(D145,MATCH(C145,{"Enero";"Febrero";"Marzo";"Abril";"Mayo";"Junio";"Julio";"Agosto";"Septiembre";"Octubre";"Noviembre";"Diciembre"},0),1)&gt;=DATE(YEAR(Contratos!$E$2:$E$203),MONTH(Contratos!$E$2:$E$203),1))*(DATE(D145,MATCH(C145,{"Enero";"Febrero";"Marzo";"Abril";"Mayo";"Junio";"Julio";"Agosto";"Septiembre";"Octubre";"Noviembre";"Diciembre"},0),1)&lt;=DATE(YEAR(Contratos!$F$2:$F$203),MONTH(Contratos!$F$2:$F$203),1)),Contratos!$A$2:$A$203,"")</f>
        <v>2eb39786-09e7-4dd1-ae3f-137c5bc86751</v>
      </c>
      <c r="B145" t="s">
        <v>124</v>
      </c>
      <c r="C145" s="2" t="s">
        <v>52</v>
      </c>
      <c r="D145" s="12">
        <v>2025</v>
      </c>
      <c r="E145" s="9">
        <v>45969</v>
      </c>
      <c r="F145" t="s">
        <v>3</v>
      </c>
      <c r="G145">
        <v>3</v>
      </c>
      <c r="H145" t="s">
        <v>12</v>
      </c>
      <c r="I145" s="2">
        <v>632200</v>
      </c>
      <c r="J145" s="2">
        <v>61220</v>
      </c>
      <c r="K145" s="2">
        <v>20000</v>
      </c>
      <c r="L145" s="2">
        <f t="shared" si="11"/>
        <v>550980</v>
      </c>
    </row>
    <row r="146" spans="1:12" x14ac:dyDescent="0.25">
      <c r="A146" t="str" cm="1">
        <f t="array" ref="A146">_xlfn.XLOOKUP(1,(Contratos!$B$2:$B$203=H146)*(Contratos!$C$2:$C$203=F146)*(Contratos!$D$2:$D$203=G146)*(DATE(D146,MATCH(C146,{"Enero";"Febrero";"Marzo";"Abril";"Mayo";"Junio";"Julio";"Agosto";"Septiembre";"Octubre";"Noviembre";"Diciembre"},0),1)&gt;=DATE(YEAR(Contratos!$E$2:$E$203),MONTH(Contratos!$E$2:$E$203),1))*(DATE(D146,MATCH(C146,{"Enero";"Febrero";"Marzo";"Abril";"Mayo";"Junio";"Julio";"Agosto";"Septiembre";"Octubre";"Noviembre";"Diciembre"},0),1)&lt;=DATE(YEAR(Contratos!$F$2:$F$203),MONTH(Contratos!$F$2:$F$203),1)),Contratos!$A$2:$A$203,"")</f>
        <v>02c61008-4e84-43c2-88b5-08e054eb6049</v>
      </c>
      <c r="B146" t="s">
        <v>124</v>
      </c>
      <c r="C146" s="2" t="s">
        <v>52</v>
      </c>
      <c r="D146" s="12">
        <v>2025</v>
      </c>
      <c r="E146" s="9">
        <v>45969</v>
      </c>
      <c r="F146" t="s">
        <v>4</v>
      </c>
      <c r="G146">
        <v>1</v>
      </c>
      <c r="H146" t="s">
        <v>27</v>
      </c>
      <c r="I146" s="2">
        <v>850000</v>
      </c>
      <c r="J146" s="2">
        <v>83000</v>
      </c>
      <c r="K146" s="2">
        <v>20000</v>
      </c>
      <c r="L146" s="2">
        <f t="shared" si="11"/>
        <v>747000</v>
      </c>
    </row>
    <row r="147" spans="1:12" x14ac:dyDescent="0.25">
      <c r="A147" t="str" cm="1">
        <f t="array" ref="A147">_xlfn.XLOOKUP(1,(Contratos!$B$2:$B$203=H147)*(Contratos!$C$2:$C$203=F147)*(Contratos!$D$2:$D$203=G147)*(DATE(D147,MATCH(C147,{"Enero";"Febrero";"Marzo";"Abril";"Mayo";"Junio";"Julio";"Agosto";"Septiembre";"Octubre";"Noviembre";"Diciembre"},0),1)&gt;=DATE(YEAR(Contratos!$E$2:$E$203),MONTH(Contratos!$E$2:$E$203),1))*(DATE(D147,MATCH(C147,{"Enero";"Febrero";"Marzo";"Abril";"Mayo";"Junio";"Julio";"Agosto";"Septiembre";"Octubre";"Noviembre";"Diciembre"},0),1)&lt;=DATE(YEAR(Contratos!$F$2:$F$203),MONTH(Contratos!$F$2:$F$203),1)),Contratos!$A$2:$A$203,"")</f>
        <v>359216a7-8ba9-4e24-8cac-7dc225c9d6e1</v>
      </c>
      <c r="B147" t="s">
        <v>124</v>
      </c>
      <c r="C147" s="2" t="s">
        <v>52</v>
      </c>
      <c r="D147" s="12">
        <v>2025</v>
      </c>
      <c r="E147" s="9">
        <v>45969</v>
      </c>
      <c r="F147" t="s">
        <v>4</v>
      </c>
      <c r="G147">
        <v>2</v>
      </c>
      <c r="H147" t="s">
        <v>14</v>
      </c>
      <c r="I147" s="2">
        <v>803700</v>
      </c>
      <c r="J147" s="2">
        <v>78370</v>
      </c>
      <c r="K147" s="2">
        <v>20000</v>
      </c>
      <c r="L147" s="2">
        <f t="shared" si="11"/>
        <v>705330</v>
      </c>
    </row>
    <row r="148" spans="1:12" x14ac:dyDescent="0.25">
      <c r="A148" t="str" cm="1">
        <f t="array" ref="A148">_xlfn.XLOOKUP(1,(Contratos!$B$2:$B$203=H148)*(Contratos!$C$2:$C$203=F148)*(Contratos!$D$2:$D$203=G148)*(DATE(D148,MATCH(C148,{"Enero";"Febrero";"Marzo";"Abril";"Mayo";"Junio";"Julio";"Agosto";"Septiembre";"Octubre";"Noviembre";"Diciembre"},0),1)&gt;=DATE(YEAR(Contratos!$E$2:$E$203),MONTH(Contratos!$E$2:$E$203),1))*(DATE(D148,MATCH(C148,{"Enero";"Febrero";"Marzo";"Abril";"Mayo";"Junio";"Julio";"Agosto";"Septiembre";"Octubre";"Noviembre";"Diciembre"},0),1)&lt;=DATE(YEAR(Contratos!$F$2:$F$203),MONTH(Contratos!$F$2:$F$203),1)),Contratos!$A$2:$A$203,"")</f>
        <v>ae88cdb7-93b0-42cd-bda5-e4576643e9c7</v>
      </c>
      <c r="B148" t="s">
        <v>124</v>
      </c>
      <c r="C148" s="2" t="s">
        <v>52</v>
      </c>
      <c r="D148" s="12">
        <v>2025</v>
      </c>
      <c r="E148" s="9">
        <v>45969</v>
      </c>
      <c r="F148" t="s">
        <v>4</v>
      </c>
      <c r="G148">
        <v>3</v>
      </c>
      <c r="H148" t="s">
        <v>15</v>
      </c>
      <c r="I148" s="2">
        <v>700000</v>
      </c>
      <c r="J148" s="2">
        <v>68000</v>
      </c>
      <c r="K148" s="2">
        <v>20000</v>
      </c>
      <c r="L148" s="2">
        <f t="shared" si="11"/>
        <v>612000</v>
      </c>
    </row>
    <row r="149" spans="1:12" x14ac:dyDescent="0.25">
      <c r="A149" t="str" cm="1">
        <f t="array" ref="A149">_xlfn.XLOOKUP(1,(Contratos!$B$2:$B$203=H149)*(Contratos!$C$2:$C$203=F149)*(Contratos!$D$2:$D$203=G149)*(DATE(D149,MATCH(C149,{"Enero";"Febrero";"Marzo";"Abril";"Mayo";"Junio";"Julio";"Agosto";"Septiembre";"Octubre";"Noviembre";"Diciembre"},0),1)&gt;=DATE(YEAR(Contratos!$E$2:$E$203),MONTH(Contratos!$E$2:$E$203),1))*(DATE(D149,MATCH(C149,{"Enero";"Febrero";"Marzo";"Abril";"Mayo";"Junio";"Julio";"Agosto";"Septiembre";"Octubre";"Noviembre";"Diciembre"},0),1)&lt;=DATE(YEAR(Contratos!$F$2:$F$203),MONTH(Contratos!$F$2:$F$203),1)),Contratos!$A$2:$A$203,"")</f>
        <v>b934fcd1-5390-4b7c-b3bc-4a642a1d7f9e</v>
      </c>
      <c r="B149" t="s">
        <v>124</v>
      </c>
      <c r="C149" s="2" t="s">
        <v>52</v>
      </c>
      <c r="D149" s="12">
        <v>2025</v>
      </c>
      <c r="E149" s="9">
        <v>45969</v>
      </c>
      <c r="F149" t="s">
        <v>4</v>
      </c>
      <c r="G149">
        <v>4</v>
      </c>
      <c r="H149" t="s">
        <v>28</v>
      </c>
      <c r="I149" s="2">
        <v>650000</v>
      </c>
      <c r="J149" s="2">
        <v>63000</v>
      </c>
      <c r="K149" s="2">
        <v>20000</v>
      </c>
      <c r="L149" s="2">
        <f t="shared" si="11"/>
        <v>567000</v>
      </c>
    </row>
    <row r="150" spans="1:12" x14ac:dyDescent="0.25">
      <c r="A150" t="str" cm="1">
        <f t="array" ref="A150">_xlfn.XLOOKUP(1,(Contratos!$B$2:$B$203=H150)*(Contratos!$C$2:$C$203=F150)*(Contratos!$D$2:$D$203=G150)*(DATE(D150,MATCH(C150,{"Enero";"Febrero";"Marzo";"Abril";"Mayo";"Junio";"Julio";"Agosto";"Septiembre";"Octubre";"Noviembre";"Diciembre"},0),1)&gt;=DATE(YEAR(Contratos!$E$2:$E$203),MONTH(Contratos!$E$2:$E$203),1))*(DATE(D150,MATCH(C150,{"Enero";"Febrero";"Marzo";"Abril";"Mayo";"Junio";"Julio";"Agosto";"Septiembre";"Octubre";"Noviembre";"Diciembre"},0),1)&lt;=DATE(YEAR(Contratos!$F$2:$F$203),MONTH(Contratos!$F$2:$F$203),1)),Contratos!$A$2:$A$203,"")</f>
        <v>01fb67ad-1898-47db-a814-5a658a723a89</v>
      </c>
      <c r="B150" t="s">
        <v>124</v>
      </c>
      <c r="C150" s="2" t="s">
        <v>52</v>
      </c>
      <c r="D150" s="12">
        <v>2025</v>
      </c>
      <c r="E150" s="9">
        <v>45969</v>
      </c>
      <c r="F150" t="s">
        <v>5</v>
      </c>
      <c r="G150">
        <v>1</v>
      </c>
      <c r="H150" t="s">
        <v>17</v>
      </c>
      <c r="I150" s="2">
        <v>673280</v>
      </c>
      <c r="J150" s="2">
        <v>65328</v>
      </c>
      <c r="K150" s="2">
        <v>20000</v>
      </c>
      <c r="L150" s="2">
        <f t="shared" si="11"/>
        <v>587952</v>
      </c>
    </row>
    <row r="151" spans="1:12" x14ac:dyDescent="0.25">
      <c r="A151" t="str" cm="1">
        <f t="array" ref="A151">_xlfn.XLOOKUP(1,(Contratos!$B$2:$B$203=H151)*(Contratos!$C$2:$C$203=F151)*(Contratos!$D$2:$D$203=G151)*(DATE(D151,MATCH(C151,{"Enero";"Febrero";"Marzo";"Abril";"Mayo";"Junio";"Julio";"Agosto";"Septiembre";"Octubre";"Noviembre";"Diciembre"},0),1)&gt;=DATE(YEAR(Contratos!$E$2:$E$203),MONTH(Contratos!$E$2:$E$203),1))*(DATE(D151,MATCH(C151,{"Enero";"Febrero";"Marzo";"Abril";"Mayo";"Junio";"Julio";"Agosto";"Septiembre";"Octubre";"Noviembre";"Diciembre"},0),1)&lt;=DATE(YEAR(Contratos!$F$2:$F$203),MONTH(Contratos!$F$2:$F$203),1)),Contratos!$A$2:$A$203,"")</f>
        <v>10959edc-7e2c-4e4e-b5ee-d6bdac93ae9e</v>
      </c>
      <c r="B151" t="s">
        <v>124</v>
      </c>
      <c r="C151" s="2" t="s">
        <v>52</v>
      </c>
      <c r="D151" s="12">
        <v>2025</v>
      </c>
      <c r="E151" s="9">
        <v>45969</v>
      </c>
      <c r="F151" t="s">
        <v>5</v>
      </c>
      <c r="G151">
        <v>2</v>
      </c>
      <c r="H151" t="s">
        <v>18</v>
      </c>
      <c r="I151" s="2">
        <v>704800</v>
      </c>
      <c r="J151" s="2">
        <v>68480</v>
      </c>
      <c r="K151" s="2">
        <v>20000</v>
      </c>
      <c r="L151" s="2">
        <f t="shared" si="11"/>
        <v>616320</v>
      </c>
    </row>
    <row r="152" spans="1:12" x14ac:dyDescent="0.25">
      <c r="A152" t="str" cm="1">
        <f t="array" ref="A152">_xlfn.XLOOKUP(1,(Contratos!$B$2:$B$203=H152)*(Contratos!$C$2:$C$203=F152)*(Contratos!$D$2:$D$203=G152)*(DATE(D152,MATCH(C152,{"Enero";"Febrero";"Marzo";"Abril";"Mayo";"Junio";"Julio";"Agosto";"Septiembre";"Octubre";"Noviembre";"Diciembre"},0),1)&gt;=DATE(YEAR(Contratos!$E$2:$E$203),MONTH(Contratos!$E$2:$E$203),1))*(DATE(D152,MATCH(C152,{"Enero";"Febrero";"Marzo";"Abril";"Mayo";"Junio";"Julio";"Agosto";"Septiembre";"Octubre";"Noviembre";"Diciembre"},0),1)&lt;=DATE(YEAR(Contratos!$F$2:$F$203),MONTH(Contratos!$F$2:$F$203),1)),Contratos!$A$2:$A$203,"")</f>
        <v>2aaff763-f744-410b-9718-249c5a655998</v>
      </c>
      <c r="B152" t="s">
        <v>124</v>
      </c>
      <c r="C152" s="2" t="s">
        <v>52</v>
      </c>
      <c r="D152" s="12">
        <v>2025</v>
      </c>
      <c r="E152" s="9">
        <v>45969</v>
      </c>
      <c r="F152" t="s">
        <v>5</v>
      </c>
      <c r="G152">
        <v>3</v>
      </c>
      <c r="H152" t="s">
        <v>29</v>
      </c>
      <c r="I152" s="2">
        <v>680000</v>
      </c>
      <c r="J152" s="2">
        <v>66000</v>
      </c>
      <c r="K152" s="2">
        <v>0</v>
      </c>
      <c r="L152" s="2">
        <f t="shared" si="11"/>
        <v>614000</v>
      </c>
    </row>
    <row r="153" spans="1:12" x14ac:dyDescent="0.25">
      <c r="A153" t="str" cm="1">
        <f t="array" ref="A153">_xlfn.XLOOKUP(1,(Contratos!$B$2:$B$203=H153)*(Contratos!$C$2:$C$203=F153)*(Contratos!$D$2:$D$203=G153)*(DATE(D153,MATCH(C153,{"Enero";"Febrero";"Marzo";"Abril";"Mayo";"Junio";"Julio";"Agosto";"Septiembre";"Octubre";"Noviembre";"Diciembre"},0),1)&gt;=DATE(YEAR(Contratos!$E$2:$E$203),MONTH(Contratos!$E$2:$E$203),1))*(DATE(D153,MATCH(C153,{"Enero";"Febrero";"Marzo";"Abril";"Mayo";"Junio";"Julio";"Agosto";"Septiembre";"Octubre";"Noviembre";"Diciembre"},0),1)&lt;=DATE(YEAR(Contratos!$F$2:$F$203),MONTH(Contratos!$F$2:$F$203),1)),Contratos!$A$2:$A$203,"")</f>
        <v>1138e6b0-3b54-4f90-9461-f8f76393e615</v>
      </c>
      <c r="B153" t="s">
        <v>124</v>
      </c>
      <c r="C153" s="2" t="s">
        <v>52</v>
      </c>
      <c r="D153" s="12">
        <v>2025</v>
      </c>
      <c r="E153" s="9">
        <v>45969</v>
      </c>
      <c r="F153" t="s">
        <v>5</v>
      </c>
      <c r="G153">
        <v>4</v>
      </c>
      <c r="H153" t="s">
        <v>20</v>
      </c>
      <c r="I153" s="2">
        <v>631200</v>
      </c>
      <c r="J153" s="2">
        <v>61120</v>
      </c>
      <c r="K153" s="2">
        <v>20000</v>
      </c>
      <c r="L153" s="2">
        <f t="shared" si="11"/>
        <v>550080</v>
      </c>
    </row>
    <row r="154" spans="1:12" x14ac:dyDescent="0.25">
      <c r="A154" t="str" cm="1">
        <f t="array" ref="A154">_xlfn.XLOOKUP(1,(Contratos!$B$2:$B$203=H154)*(Contratos!$C$2:$C$203=F154)*(Contratos!$D$2:$D$203=G154)*(DATE(D154,MATCH(C154,{"Enero";"Febrero";"Marzo";"Abril";"Mayo";"Junio";"Julio";"Agosto";"Septiembre";"Octubre";"Noviembre";"Diciembre"},0),1)&gt;=DATE(YEAR(Contratos!$E$2:$E$203),MONTH(Contratos!$E$2:$E$203),1))*(DATE(D154,MATCH(C154,{"Enero";"Febrero";"Marzo";"Abril";"Mayo";"Junio";"Julio";"Agosto";"Septiembre";"Octubre";"Noviembre";"Diciembre"},0),1)&lt;=DATE(YEAR(Contratos!$F$2:$F$203),MONTH(Contratos!$F$2:$F$203),1)),Contratos!$A$2:$A$203,"")</f>
        <v>3dcc043e-cebd-4562-843a-73004bc5a5fb</v>
      </c>
      <c r="B154" t="s">
        <v>124</v>
      </c>
      <c r="C154" s="2" t="s">
        <v>53</v>
      </c>
      <c r="D154" s="12">
        <v>2025</v>
      </c>
      <c r="E154" s="9">
        <v>46002</v>
      </c>
      <c r="F154" t="s">
        <v>2</v>
      </c>
      <c r="G154">
        <v>1</v>
      </c>
      <c r="H154" t="s">
        <v>7</v>
      </c>
      <c r="I154" s="2">
        <v>736400</v>
      </c>
      <c r="J154" s="2">
        <v>71640</v>
      </c>
      <c r="K154" s="2">
        <v>20000</v>
      </c>
      <c r="L154" s="2">
        <f>I154-SUM(J154:K154)</f>
        <v>644760</v>
      </c>
    </row>
    <row r="155" spans="1:12" x14ac:dyDescent="0.25">
      <c r="A155" t="str" cm="1">
        <f t="array" ref="A155">_xlfn.XLOOKUP(1,(Contratos!$B$2:$B$203=H155)*(Contratos!$C$2:$C$203=F155)*(Contratos!$D$2:$D$203=G155)*(DATE(D155,MATCH(C155,{"Enero";"Febrero";"Marzo";"Abril";"Mayo";"Junio";"Julio";"Agosto";"Septiembre";"Octubre";"Noviembre";"Diciembre"},0),1)&gt;=DATE(YEAR(Contratos!$E$2:$E$203),MONTH(Contratos!$E$2:$E$203),1))*(DATE(D155,MATCH(C155,{"Enero";"Febrero";"Marzo";"Abril";"Mayo";"Junio";"Julio";"Agosto";"Septiembre";"Octubre";"Noviembre";"Diciembre"},0),1)&lt;=DATE(YEAR(Contratos!$F$2:$F$203),MONTH(Contratos!$F$2:$F$203),1)),Contratos!$A$2:$A$203,"")</f>
        <v>e39b3e8a-33b6-49ac-8fe8-f4ed22ad8b90</v>
      </c>
      <c r="B155" t="s">
        <v>124</v>
      </c>
      <c r="C155" s="2" t="s">
        <v>53</v>
      </c>
      <c r="D155" s="12">
        <v>2025</v>
      </c>
      <c r="E155" s="9">
        <v>46002</v>
      </c>
      <c r="F155" t="s">
        <v>2</v>
      </c>
      <c r="G155">
        <v>2</v>
      </c>
      <c r="H155" t="s">
        <v>8</v>
      </c>
      <c r="I155" s="2">
        <v>662700</v>
      </c>
      <c r="J155" s="2">
        <v>64270</v>
      </c>
      <c r="K155" s="2">
        <v>20000</v>
      </c>
      <c r="L155" s="2">
        <f t="shared" ref="L155:L166" si="12">I155-SUM(J155:K155)</f>
        <v>578430</v>
      </c>
    </row>
    <row r="156" spans="1:12" x14ac:dyDescent="0.25">
      <c r="A156" t="str" cm="1">
        <f t="array" ref="A156">_xlfn.XLOOKUP(1,(Contratos!$B$2:$B$203=H156)*(Contratos!$C$2:$C$203=F156)*(Contratos!$D$2:$D$203=G156)*(DATE(D156,MATCH(C156,{"Enero";"Febrero";"Marzo";"Abril";"Mayo";"Junio";"Julio";"Agosto";"Septiembre";"Octubre";"Noviembre";"Diciembre"},0),1)&gt;=DATE(YEAR(Contratos!$E$2:$E$203),MONTH(Contratos!$E$2:$E$203),1))*(DATE(D156,MATCH(C156,{"Enero";"Febrero";"Marzo";"Abril";"Mayo";"Junio";"Julio";"Agosto";"Septiembre";"Octubre";"Noviembre";"Diciembre"},0),1)&lt;=DATE(YEAR(Contratos!$F$2:$F$203),MONTH(Contratos!$F$2:$F$203),1)),Contratos!$A$2:$A$203,"")</f>
        <v>3222d3e6-2b5b-4103-bc55-29e39c33ca84</v>
      </c>
      <c r="B156" t="s">
        <v>124</v>
      </c>
      <c r="C156" s="2" t="s">
        <v>53</v>
      </c>
      <c r="D156" s="12">
        <v>2025</v>
      </c>
      <c r="E156" s="9">
        <v>46002</v>
      </c>
      <c r="F156" t="s">
        <v>2</v>
      </c>
      <c r="G156">
        <v>3</v>
      </c>
      <c r="H156" t="s">
        <v>9</v>
      </c>
      <c r="I156" s="2">
        <v>631200</v>
      </c>
      <c r="J156" s="2">
        <v>63120</v>
      </c>
      <c r="K156" s="2">
        <v>0</v>
      </c>
      <c r="L156" s="2">
        <f t="shared" si="12"/>
        <v>568080</v>
      </c>
    </row>
    <row r="157" spans="1:12" x14ac:dyDescent="0.25">
      <c r="A157" t="str" cm="1">
        <f t="array" ref="A157">_xlfn.XLOOKUP(1,(Contratos!$B$2:$B$203=H157)*(Contratos!$C$2:$C$203=F157)*(Contratos!$D$2:$D$203=G157)*(DATE(D157,MATCH(C157,{"Enero";"Febrero";"Marzo";"Abril";"Mayo";"Junio";"Julio";"Agosto";"Septiembre";"Octubre";"Noviembre";"Diciembre"},0),1)&gt;=DATE(YEAR(Contratos!$E$2:$E$203),MONTH(Contratos!$E$2:$E$203),1))*(DATE(D157,MATCH(C157,{"Enero";"Febrero";"Marzo";"Abril";"Mayo";"Junio";"Julio";"Agosto";"Septiembre";"Octubre";"Noviembre";"Diciembre"},0),1)&lt;=DATE(YEAR(Contratos!$F$2:$F$203),MONTH(Contratos!$F$2:$F$203),1)),Contratos!$A$2:$A$203,"")</f>
        <v>1f5eb474-0cc5-4f59-bde6-8b6fb39d4b29</v>
      </c>
      <c r="B157" t="s">
        <v>124</v>
      </c>
      <c r="C157" s="2" t="s">
        <v>53</v>
      </c>
      <c r="D157" s="12">
        <v>2025</v>
      </c>
      <c r="E157" s="9">
        <v>46002</v>
      </c>
      <c r="F157" t="s">
        <v>3</v>
      </c>
      <c r="G157">
        <v>1</v>
      </c>
      <c r="H157" t="s">
        <v>26</v>
      </c>
      <c r="I157" s="2">
        <v>800000</v>
      </c>
      <c r="J157" s="2">
        <v>78000</v>
      </c>
      <c r="K157" s="2">
        <v>20000</v>
      </c>
      <c r="L157" s="2">
        <f t="shared" si="12"/>
        <v>702000</v>
      </c>
    </row>
    <row r="158" spans="1:12" x14ac:dyDescent="0.25">
      <c r="A158" t="str" cm="1">
        <f t="array" ref="A158">_xlfn.XLOOKUP(1,(Contratos!$B$2:$B$203=H158)*(Contratos!$C$2:$C$203=F158)*(Contratos!$D$2:$D$203=G158)*(DATE(D158,MATCH(C158,{"Enero";"Febrero";"Marzo";"Abril";"Mayo";"Junio";"Julio";"Agosto";"Septiembre";"Octubre";"Noviembre";"Diciembre"},0),1)&gt;=DATE(YEAR(Contratos!$E$2:$E$203),MONTH(Contratos!$E$2:$E$203),1))*(DATE(D158,MATCH(C158,{"Enero";"Febrero";"Marzo";"Abril";"Mayo";"Junio";"Julio";"Agosto";"Septiembre";"Octubre";"Noviembre";"Diciembre"},0),1)&lt;=DATE(YEAR(Contratos!$F$2:$F$203),MONTH(Contratos!$F$2:$F$203),1)),Contratos!$A$2:$A$203,"")</f>
        <v>2eb39786-09e7-4dd1-ae3f-137c5bc86751</v>
      </c>
      <c r="B158" t="s">
        <v>124</v>
      </c>
      <c r="C158" s="2" t="s">
        <v>53</v>
      </c>
      <c r="D158" s="12">
        <v>2025</v>
      </c>
      <c r="E158" s="9">
        <v>46002</v>
      </c>
      <c r="F158" t="s">
        <v>3</v>
      </c>
      <c r="G158">
        <v>3</v>
      </c>
      <c r="H158" t="s">
        <v>12</v>
      </c>
      <c r="I158" s="2">
        <v>632200</v>
      </c>
      <c r="J158" s="2">
        <v>61220</v>
      </c>
      <c r="K158" s="2">
        <v>20000</v>
      </c>
      <c r="L158" s="2">
        <f t="shared" si="12"/>
        <v>550980</v>
      </c>
    </row>
    <row r="159" spans="1:12" x14ac:dyDescent="0.25">
      <c r="A159" t="str" cm="1">
        <f t="array" ref="A159">_xlfn.XLOOKUP(1,(Contratos!$B$2:$B$203=H159)*(Contratos!$C$2:$C$203=F159)*(Contratos!$D$2:$D$203=G159)*(DATE(D159,MATCH(C159,{"Enero";"Febrero";"Marzo";"Abril";"Mayo";"Junio";"Julio";"Agosto";"Septiembre";"Octubre";"Noviembre";"Diciembre"},0),1)&gt;=DATE(YEAR(Contratos!$E$2:$E$203),MONTH(Contratos!$E$2:$E$203),1))*(DATE(D159,MATCH(C159,{"Enero";"Febrero";"Marzo";"Abril";"Mayo";"Junio";"Julio";"Agosto";"Septiembre";"Octubre";"Noviembre";"Diciembre"},0),1)&lt;=DATE(YEAR(Contratos!$F$2:$F$203),MONTH(Contratos!$F$2:$F$203),1)),Contratos!$A$2:$A$203,"")</f>
        <v>02c61008-4e84-43c2-88b5-08e054eb6049</v>
      </c>
      <c r="B159" t="s">
        <v>124</v>
      </c>
      <c r="C159" s="2" t="s">
        <v>53</v>
      </c>
      <c r="D159" s="12">
        <v>2025</v>
      </c>
      <c r="E159" s="9">
        <v>46002</v>
      </c>
      <c r="F159" t="s">
        <v>4</v>
      </c>
      <c r="G159">
        <v>1</v>
      </c>
      <c r="H159" t="s">
        <v>27</v>
      </c>
      <c r="I159" s="2">
        <v>850000</v>
      </c>
      <c r="J159" s="2">
        <v>83000</v>
      </c>
      <c r="K159" s="2">
        <v>20000</v>
      </c>
      <c r="L159" s="2">
        <f t="shared" si="12"/>
        <v>747000</v>
      </c>
    </row>
    <row r="160" spans="1:12" x14ac:dyDescent="0.25">
      <c r="A160" t="str" cm="1">
        <f t="array" ref="A160">_xlfn.XLOOKUP(1,(Contratos!$B$2:$B$203=H160)*(Contratos!$C$2:$C$203=F160)*(Contratos!$D$2:$D$203=G160)*(DATE(D160,MATCH(C160,{"Enero";"Febrero";"Marzo";"Abril";"Mayo";"Junio";"Julio";"Agosto";"Septiembre";"Octubre";"Noviembre";"Diciembre"},0),1)&gt;=DATE(YEAR(Contratos!$E$2:$E$203),MONTH(Contratos!$E$2:$E$203),1))*(DATE(D160,MATCH(C160,{"Enero";"Febrero";"Marzo";"Abril";"Mayo";"Junio";"Julio";"Agosto";"Septiembre";"Octubre";"Noviembre";"Diciembre"},0),1)&lt;=DATE(YEAR(Contratos!$F$2:$F$203),MONTH(Contratos!$F$2:$F$203),1)),Contratos!$A$2:$A$203,"")</f>
        <v>359216a7-8ba9-4e24-8cac-7dc225c9d6e1</v>
      </c>
      <c r="B160" t="s">
        <v>124</v>
      </c>
      <c r="C160" s="2" t="s">
        <v>53</v>
      </c>
      <c r="D160" s="12">
        <v>2025</v>
      </c>
      <c r="E160" s="9">
        <v>46002</v>
      </c>
      <c r="F160" t="s">
        <v>4</v>
      </c>
      <c r="G160">
        <v>2</v>
      </c>
      <c r="H160" t="s">
        <v>14</v>
      </c>
      <c r="I160" s="2">
        <v>803700</v>
      </c>
      <c r="J160" s="2">
        <v>78370</v>
      </c>
      <c r="K160" s="2">
        <v>20000</v>
      </c>
      <c r="L160" s="2">
        <f t="shared" si="12"/>
        <v>705330</v>
      </c>
    </row>
    <row r="161" spans="1:12" x14ac:dyDescent="0.25">
      <c r="A161" t="str" cm="1">
        <f t="array" ref="A161">_xlfn.XLOOKUP(1,(Contratos!$B$2:$B$203=H161)*(Contratos!$C$2:$C$203=F161)*(Contratos!$D$2:$D$203=G161)*(DATE(D161,MATCH(C161,{"Enero";"Febrero";"Marzo";"Abril";"Mayo";"Junio";"Julio";"Agosto";"Septiembre";"Octubre";"Noviembre";"Diciembre"},0),1)&gt;=DATE(YEAR(Contratos!$E$2:$E$203),MONTH(Contratos!$E$2:$E$203),1))*(DATE(D161,MATCH(C161,{"Enero";"Febrero";"Marzo";"Abril";"Mayo";"Junio";"Julio";"Agosto";"Septiembre";"Octubre";"Noviembre";"Diciembre"},0),1)&lt;=DATE(YEAR(Contratos!$F$2:$F$203),MONTH(Contratos!$F$2:$F$203),1)),Contratos!$A$2:$A$203,"")</f>
        <v>7366f152-e5d2-44a3-8beb-4d85e5905cbc</v>
      </c>
      <c r="B161" t="s">
        <v>124</v>
      </c>
      <c r="C161" s="2" t="s">
        <v>53</v>
      </c>
      <c r="D161" s="12">
        <v>2025</v>
      </c>
      <c r="E161" s="9">
        <v>46002</v>
      </c>
      <c r="F161" t="s">
        <v>4</v>
      </c>
      <c r="G161">
        <v>3</v>
      </c>
      <c r="H161" t="s">
        <v>30</v>
      </c>
      <c r="I161" s="2">
        <v>750000</v>
      </c>
      <c r="J161" s="2">
        <v>73000</v>
      </c>
      <c r="K161" s="2">
        <v>20000</v>
      </c>
      <c r="L161" s="2">
        <f t="shared" si="12"/>
        <v>657000</v>
      </c>
    </row>
    <row r="162" spans="1:12" x14ac:dyDescent="0.25">
      <c r="A162" t="str" cm="1">
        <f t="array" ref="A162">_xlfn.XLOOKUP(1,(Contratos!$B$2:$B$203=H162)*(Contratos!$C$2:$C$203=F162)*(Contratos!$D$2:$D$203=G162)*(DATE(D162,MATCH(C162,{"Enero";"Febrero";"Marzo";"Abril";"Mayo";"Junio";"Julio";"Agosto";"Septiembre";"Octubre";"Noviembre";"Diciembre"},0),1)&gt;=DATE(YEAR(Contratos!$E$2:$E$203),MONTH(Contratos!$E$2:$E$203),1))*(DATE(D162,MATCH(C162,{"Enero";"Febrero";"Marzo";"Abril";"Mayo";"Junio";"Julio";"Agosto";"Septiembre";"Octubre";"Noviembre";"Diciembre"},0),1)&lt;=DATE(YEAR(Contratos!$F$2:$F$203),MONTH(Contratos!$F$2:$F$203),1)),Contratos!$A$2:$A$203,"")</f>
        <v>b934fcd1-5390-4b7c-b3bc-4a642a1d7f9e</v>
      </c>
      <c r="B162" t="s">
        <v>124</v>
      </c>
      <c r="C162" s="2" t="s">
        <v>53</v>
      </c>
      <c r="D162" s="12">
        <v>2025</v>
      </c>
      <c r="E162" s="9">
        <v>46002</v>
      </c>
      <c r="F162" t="s">
        <v>4</v>
      </c>
      <c r="G162">
        <v>4</v>
      </c>
      <c r="H162" t="s">
        <v>28</v>
      </c>
      <c r="I162" s="2">
        <v>650000</v>
      </c>
      <c r="J162" s="2">
        <v>63000</v>
      </c>
      <c r="K162" s="2">
        <v>20000</v>
      </c>
      <c r="L162" s="2">
        <f t="shared" si="12"/>
        <v>567000</v>
      </c>
    </row>
    <row r="163" spans="1:12" x14ac:dyDescent="0.25">
      <c r="A163" t="str" cm="1">
        <f t="array" ref="A163">_xlfn.XLOOKUP(1,(Contratos!$B$2:$B$203=H163)*(Contratos!$C$2:$C$203=F163)*(Contratos!$D$2:$D$203=G163)*(DATE(D163,MATCH(C163,{"Enero";"Febrero";"Marzo";"Abril";"Mayo";"Junio";"Julio";"Agosto";"Septiembre";"Octubre";"Noviembre";"Diciembre"},0),1)&gt;=DATE(YEAR(Contratos!$E$2:$E$203),MONTH(Contratos!$E$2:$E$203),1))*(DATE(D163,MATCH(C163,{"Enero";"Febrero";"Marzo";"Abril";"Mayo";"Junio";"Julio";"Agosto";"Septiembre";"Octubre";"Noviembre";"Diciembre"},0),1)&lt;=DATE(YEAR(Contratos!$F$2:$F$203),MONTH(Contratos!$F$2:$F$203),1)),Contratos!$A$2:$A$203,"")</f>
        <v>01fb67ad-1898-47db-a814-5a658a723a89</v>
      </c>
      <c r="B163" t="s">
        <v>124</v>
      </c>
      <c r="C163" s="2" t="s">
        <v>53</v>
      </c>
      <c r="D163" s="12">
        <v>2025</v>
      </c>
      <c r="E163" s="9">
        <v>46002</v>
      </c>
      <c r="F163" t="s">
        <v>5</v>
      </c>
      <c r="G163">
        <v>1</v>
      </c>
      <c r="H163" t="s">
        <v>17</v>
      </c>
      <c r="I163" s="2">
        <v>673280</v>
      </c>
      <c r="J163" s="2">
        <v>65328</v>
      </c>
      <c r="K163" s="2">
        <v>20000</v>
      </c>
      <c r="L163" s="2">
        <f t="shared" si="12"/>
        <v>587952</v>
      </c>
    </row>
    <row r="164" spans="1:12" x14ac:dyDescent="0.25">
      <c r="A164" t="str" cm="1">
        <f t="array" ref="A164">_xlfn.XLOOKUP(1,(Contratos!$B$2:$B$203=H164)*(Contratos!$C$2:$C$203=F164)*(Contratos!$D$2:$D$203=G164)*(DATE(D164,MATCH(C164,{"Enero";"Febrero";"Marzo";"Abril";"Mayo";"Junio";"Julio";"Agosto";"Septiembre";"Octubre";"Noviembre";"Diciembre"},0),1)&gt;=DATE(YEAR(Contratos!$E$2:$E$203),MONTH(Contratos!$E$2:$E$203),1))*(DATE(D164,MATCH(C164,{"Enero";"Febrero";"Marzo";"Abril";"Mayo";"Junio";"Julio";"Agosto";"Septiembre";"Octubre";"Noviembre";"Diciembre"},0),1)&lt;=DATE(YEAR(Contratos!$F$2:$F$203),MONTH(Contratos!$F$2:$F$203),1)),Contratos!$A$2:$A$203,"")</f>
        <v>10959edc-7e2c-4e4e-b5ee-d6bdac93ae9e</v>
      </c>
      <c r="B164" t="s">
        <v>124</v>
      </c>
      <c r="C164" s="2" t="s">
        <v>53</v>
      </c>
      <c r="D164" s="12">
        <v>2025</v>
      </c>
      <c r="E164" s="9">
        <v>46002</v>
      </c>
      <c r="F164" t="s">
        <v>5</v>
      </c>
      <c r="G164">
        <v>2</v>
      </c>
      <c r="H164" t="s">
        <v>18</v>
      </c>
      <c r="I164" s="2">
        <v>704800</v>
      </c>
      <c r="J164" s="2">
        <v>68480</v>
      </c>
      <c r="K164" s="2">
        <v>20000</v>
      </c>
      <c r="L164" s="2">
        <f t="shared" si="12"/>
        <v>616320</v>
      </c>
    </row>
    <row r="165" spans="1:12" x14ac:dyDescent="0.25">
      <c r="A165" t="str" cm="1">
        <f t="array" ref="A165">_xlfn.XLOOKUP(1,(Contratos!$B$2:$B$203=H165)*(Contratos!$C$2:$C$203=F165)*(Contratos!$D$2:$D$203=G165)*(DATE(D165,MATCH(C165,{"Enero";"Febrero";"Marzo";"Abril";"Mayo";"Junio";"Julio";"Agosto";"Septiembre";"Octubre";"Noviembre";"Diciembre"},0),1)&gt;=DATE(YEAR(Contratos!$E$2:$E$203),MONTH(Contratos!$E$2:$E$203),1))*(DATE(D165,MATCH(C165,{"Enero";"Febrero";"Marzo";"Abril";"Mayo";"Junio";"Julio";"Agosto";"Septiembre";"Octubre";"Noviembre";"Diciembre"},0),1)&lt;=DATE(YEAR(Contratos!$F$2:$F$203),MONTH(Contratos!$F$2:$F$203),1)),Contratos!$A$2:$A$203,"")</f>
        <v>2aaff763-f744-410b-9718-249c5a655998</v>
      </c>
      <c r="B165" t="s">
        <v>124</v>
      </c>
      <c r="C165" s="2" t="s">
        <v>53</v>
      </c>
      <c r="D165" s="12">
        <v>2025</v>
      </c>
      <c r="E165" s="9">
        <v>46002</v>
      </c>
      <c r="F165" t="s">
        <v>5</v>
      </c>
      <c r="G165">
        <v>3</v>
      </c>
      <c r="H165" t="s">
        <v>29</v>
      </c>
      <c r="I165" s="2">
        <v>680000</v>
      </c>
      <c r="J165" s="2">
        <v>66000</v>
      </c>
      <c r="K165" s="2">
        <v>20000</v>
      </c>
      <c r="L165" s="2">
        <f t="shared" si="12"/>
        <v>594000</v>
      </c>
    </row>
    <row r="166" spans="1:12" x14ac:dyDescent="0.25">
      <c r="A166" t="str" cm="1">
        <f t="array" ref="A166">_xlfn.XLOOKUP(1,(Contratos!$B$2:$B$203=H166)*(Contratos!$C$2:$C$203=F166)*(Contratos!$D$2:$D$203=G166)*(DATE(D166,MATCH(C166,{"Enero";"Febrero";"Marzo";"Abril";"Mayo";"Junio";"Julio";"Agosto";"Septiembre";"Octubre";"Noviembre";"Diciembre"},0),1)&gt;=DATE(YEAR(Contratos!$E$2:$E$203),MONTH(Contratos!$E$2:$E$203),1))*(DATE(D166,MATCH(C166,{"Enero";"Febrero";"Marzo";"Abril";"Mayo";"Junio";"Julio";"Agosto";"Septiembre";"Octubre";"Noviembre";"Diciembre"},0),1)&lt;=DATE(YEAR(Contratos!$F$2:$F$203),MONTH(Contratos!$F$2:$F$203),1)),Contratos!$A$2:$A$203,"")</f>
        <v>1138e6b0-3b54-4f90-9461-f8f76393e615</v>
      </c>
      <c r="B166" t="s">
        <v>124</v>
      </c>
      <c r="C166" s="2" t="s">
        <v>53</v>
      </c>
      <c r="D166" s="12">
        <v>2025</v>
      </c>
      <c r="E166" s="9">
        <v>46002</v>
      </c>
      <c r="F166" t="s">
        <v>5</v>
      </c>
      <c r="G166">
        <v>4</v>
      </c>
      <c r="H166" t="s">
        <v>20</v>
      </c>
      <c r="I166" s="2">
        <v>631200</v>
      </c>
      <c r="J166" s="2">
        <v>61120</v>
      </c>
      <c r="K166" s="2">
        <v>20000</v>
      </c>
      <c r="L166" s="2">
        <f t="shared" si="12"/>
        <v>550080</v>
      </c>
    </row>
    <row r="167" spans="1:12" x14ac:dyDescent="0.25">
      <c r="A167" t="str" cm="1">
        <f t="array" ref="A167">_xlfn.XLOOKUP(1,(Contratos!$B$2:$B$203=H167)*(Contratos!$C$2:$C$203=F167)*(Contratos!$D$2:$D$203=G167)*(DATE(D167,MATCH(C167,{"Enero";"Febrero";"Marzo";"Abril";"Mayo";"Junio";"Julio";"Agosto";"Septiembre";"Octubre";"Noviembre";"Diciembre"},0),1)&gt;=DATE(YEAR(Contratos!$E$2:$E$203),MONTH(Contratos!$E$2:$E$203),1))*(DATE(D167,MATCH(C167,{"Enero";"Febrero";"Marzo";"Abril";"Mayo";"Junio";"Julio";"Agosto";"Septiembre";"Octubre";"Noviembre";"Diciembre"},0),1)&lt;=DATE(YEAR(Contratos!$F$2:$F$203),MONTH(Contratos!$F$2:$F$203),1)),Contratos!$A$2:$A$203,"")</f>
        <v>3dcc043e-cebd-4562-843a-73004bc5a5fb</v>
      </c>
      <c r="B167" t="s">
        <v>124</v>
      </c>
      <c r="C167" s="2" t="s">
        <v>42</v>
      </c>
      <c r="D167" s="12">
        <v>2025</v>
      </c>
      <c r="E167" s="9">
        <v>46031</v>
      </c>
      <c r="F167" t="s">
        <v>2</v>
      </c>
      <c r="G167">
        <v>1</v>
      </c>
      <c r="H167" t="s">
        <v>7</v>
      </c>
      <c r="I167" s="2">
        <v>736400</v>
      </c>
      <c r="J167" s="2">
        <v>71640</v>
      </c>
      <c r="K167" s="2">
        <v>20000</v>
      </c>
      <c r="L167" s="2">
        <f>I167-SUM(J167:K167)</f>
        <v>644760</v>
      </c>
    </row>
    <row r="168" spans="1:12" x14ac:dyDescent="0.25">
      <c r="A168" t="str" cm="1">
        <f t="array" ref="A168">_xlfn.XLOOKUP(1,(Contratos!$B$2:$B$203=H168)*(Contratos!$C$2:$C$203=F168)*(Contratos!$D$2:$D$203=G168)*(DATE(D168,MATCH(C168,{"Enero";"Febrero";"Marzo";"Abril";"Mayo";"Junio";"Julio";"Agosto";"Septiembre";"Octubre";"Noviembre";"Diciembre"},0),1)&gt;=DATE(YEAR(Contratos!$E$2:$E$203),MONTH(Contratos!$E$2:$E$203),1))*(DATE(D168,MATCH(C168,{"Enero";"Febrero";"Marzo";"Abril";"Mayo";"Junio";"Julio";"Agosto";"Septiembre";"Octubre";"Noviembre";"Diciembre"},0),1)&lt;=DATE(YEAR(Contratos!$F$2:$F$203),MONTH(Contratos!$F$2:$F$203),1)),Contratos!$A$2:$A$203,"")</f>
        <v>e39b3e8a-33b6-49ac-8fe8-f4ed22ad8b90</v>
      </c>
      <c r="B168" t="s">
        <v>124</v>
      </c>
      <c r="C168" s="2" t="s">
        <v>42</v>
      </c>
      <c r="D168" s="12">
        <v>2025</v>
      </c>
      <c r="E168" s="9">
        <v>46031</v>
      </c>
      <c r="F168" t="s">
        <v>2</v>
      </c>
      <c r="G168">
        <v>2</v>
      </c>
      <c r="H168" t="s">
        <v>8</v>
      </c>
      <c r="I168" s="2">
        <v>662700</v>
      </c>
      <c r="J168" s="2">
        <v>64270</v>
      </c>
      <c r="K168" s="2">
        <v>20000</v>
      </c>
      <c r="L168" s="2">
        <f t="shared" ref="L168:L180" si="13">I168-SUM(J168:K168)</f>
        <v>578430</v>
      </c>
    </row>
    <row r="169" spans="1:12" x14ac:dyDescent="0.25">
      <c r="A169" t="str" cm="1">
        <f t="array" ref="A169">_xlfn.XLOOKUP(1,(Contratos!$B$2:$B$203=H169)*(Contratos!$C$2:$C$203=F169)*(Contratos!$D$2:$D$203=G169)*(DATE(D169,MATCH(C169,{"Enero";"Febrero";"Marzo";"Abril";"Mayo";"Junio";"Julio";"Agosto";"Septiembre";"Octubre";"Noviembre";"Diciembre"},0),1)&gt;=DATE(YEAR(Contratos!$E$2:$E$203),MONTH(Contratos!$E$2:$E$203),1))*(DATE(D169,MATCH(C169,{"Enero";"Febrero";"Marzo";"Abril";"Mayo";"Junio";"Julio";"Agosto";"Septiembre";"Octubre";"Noviembre";"Diciembre"},0),1)&lt;=DATE(YEAR(Contratos!$F$2:$F$203),MONTH(Contratos!$F$2:$F$203),1)),Contratos!$A$2:$A$203,"")</f>
        <v>cac5cc64-81f9-466e-94ec-47be649d3deb</v>
      </c>
      <c r="B169" t="s">
        <v>124</v>
      </c>
      <c r="C169" s="2" t="s">
        <v>42</v>
      </c>
      <c r="D169" s="12">
        <v>2025</v>
      </c>
      <c r="E169" s="9">
        <v>46031</v>
      </c>
      <c r="F169" t="s">
        <v>2</v>
      </c>
      <c r="G169">
        <v>3</v>
      </c>
      <c r="H169" t="s">
        <v>9</v>
      </c>
      <c r="I169" s="2">
        <v>631200</v>
      </c>
      <c r="J169" s="2">
        <v>63120</v>
      </c>
      <c r="K169" s="2">
        <v>0</v>
      </c>
      <c r="L169" s="2">
        <f t="shared" si="13"/>
        <v>568080</v>
      </c>
    </row>
    <row r="170" spans="1:12" x14ac:dyDescent="0.25">
      <c r="A170" t="str" cm="1">
        <f t="array" ref="A170">_xlfn.XLOOKUP(1,(Contratos!$B$2:$B$203=H170)*(Contratos!$C$2:$C$203=F170)*(Contratos!$D$2:$D$203=G170)*(DATE(D170,MATCH(C170,{"Enero";"Febrero";"Marzo";"Abril";"Mayo";"Junio";"Julio";"Agosto";"Septiembre";"Octubre";"Noviembre";"Diciembre"},0),1)&gt;=DATE(YEAR(Contratos!$E$2:$E$203),MONTH(Contratos!$E$2:$E$203),1))*(DATE(D170,MATCH(C170,{"Enero";"Febrero";"Marzo";"Abril";"Mayo";"Junio";"Julio";"Agosto";"Septiembre";"Octubre";"Noviembre";"Diciembre"},0),1)&lt;=DATE(YEAR(Contratos!$F$2:$F$203),MONTH(Contratos!$F$2:$F$203),1)),Contratos!$A$2:$A$203,"")</f>
        <v>1f5eb474-0cc5-4f59-bde6-8b6fb39d4b29</v>
      </c>
      <c r="B170" t="s">
        <v>124</v>
      </c>
      <c r="C170" s="2" t="s">
        <v>42</v>
      </c>
      <c r="D170" s="12">
        <v>2025</v>
      </c>
      <c r="E170" s="9">
        <v>46031</v>
      </c>
      <c r="F170" t="s">
        <v>3</v>
      </c>
      <c r="G170">
        <v>1</v>
      </c>
      <c r="H170" t="s">
        <v>26</v>
      </c>
      <c r="I170" s="2">
        <v>800000</v>
      </c>
      <c r="J170" s="2">
        <v>78000</v>
      </c>
      <c r="K170" s="2">
        <v>20000</v>
      </c>
      <c r="L170" s="2">
        <f t="shared" si="13"/>
        <v>702000</v>
      </c>
    </row>
    <row r="171" spans="1:12" x14ac:dyDescent="0.25">
      <c r="A171" t="str" cm="1">
        <f t="array" ref="A171">_xlfn.XLOOKUP(1,(Contratos!$B$2:$B$203=H171)*(Contratos!$C$2:$C$203=F171)*(Contratos!$D$2:$D$203=G171)*(DATE(D171,MATCH(C171,{"Enero";"Febrero";"Marzo";"Abril";"Mayo";"Junio";"Julio";"Agosto";"Septiembre";"Octubre";"Noviembre";"Diciembre"},0),1)&gt;=DATE(YEAR(Contratos!$E$2:$E$203),MONTH(Contratos!$E$2:$E$203),1))*(DATE(D171,MATCH(C171,{"Enero";"Febrero";"Marzo";"Abril";"Mayo";"Junio";"Julio";"Agosto";"Septiembre";"Octubre";"Noviembre";"Diciembre"},0),1)&lt;=DATE(YEAR(Contratos!$F$2:$F$203),MONTH(Contratos!$F$2:$F$203),1)),Contratos!$A$2:$A$203,"")</f>
        <v>4d99141d-777f-42b8-9171-236b233bb4bf</v>
      </c>
      <c r="B171" t="s">
        <v>124</v>
      </c>
      <c r="C171" s="2" t="s">
        <v>42</v>
      </c>
      <c r="D171" s="12">
        <v>2025</v>
      </c>
      <c r="E171" s="9">
        <v>46031</v>
      </c>
      <c r="F171" t="s">
        <v>3</v>
      </c>
      <c r="G171">
        <v>2</v>
      </c>
      <c r="H171" t="s">
        <v>31</v>
      </c>
      <c r="I171" s="2">
        <v>720000</v>
      </c>
      <c r="J171" s="2">
        <v>70000</v>
      </c>
      <c r="K171" s="2">
        <v>20000</v>
      </c>
      <c r="L171" s="2">
        <f t="shared" si="13"/>
        <v>630000</v>
      </c>
    </row>
    <row r="172" spans="1:12" x14ac:dyDescent="0.25">
      <c r="A172" t="str" cm="1">
        <f t="array" ref="A172">_xlfn.XLOOKUP(1,(Contratos!$B$2:$B$203=H172)*(Contratos!$C$2:$C$203=F172)*(Contratos!$D$2:$D$203=G172)*(DATE(D172,MATCH(C172,{"Enero";"Febrero";"Marzo";"Abril";"Mayo";"Junio";"Julio";"Agosto";"Septiembre";"Octubre";"Noviembre";"Diciembre"},0),1)&gt;=DATE(YEAR(Contratos!$E$2:$E$203),MONTH(Contratos!$E$2:$E$203),1))*(DATE(D172,MATCH(C172,{"Enero";"Febrero";"Marzo";"Abril";"Mayo";"Junio";"Julio";"Agosto";"Septiembre";"Octubre";"Noviembre";"Diciembre"},0),1)&lt;=DATE(YEAR(Contratos!$F$2:$F$203),MONTH(Contratos!$F$2:$F$203),1)),Contratos!$A$2:$A$203,"")</f>
        <v>2eb39786-09e7-4dd1-ae3f-137c5bc86751</v>
      </c>
      <c r="B172" t="s">
        <v>124</v>
      </c>
      <c r="C172" s="2" t="s">
        <v>42</v>
      </c>
      <c r="D172" s="12">
        <v>2025</v>
      </c>
      <c r="E172" s="9">
        <v>46031</v>
      </c>
      <c r="F172" t="s">
        <v>3</v>
      </c>
      <c r="G172">
        <v>3</v>
      </c>
      <c r="H172" t="s">
        <v>12</v>
      </c>
      <c r="I172" s="2">
        <v>632200</v>
      </c>
      <c r="J172" s="2">
        <v>61220</v>
      </c>
      <c r="K172" s="2">
        <v>20000</v>
      </c>
      <c r="L172" s="2">
        <f t="shared" si="13"/>
        <v>550980</v>
      </c>
    </row>
    <row r="173" spans="1:12" x14ac:dyDescent="0.25">
      <c r="A173" t="str" cm="1">
        <f t="array" ref="A173">_xlfn.XLOOKUP(1,(Contratos!$B$2:$B$203=H173)*(Contratos!$C$2:$C$203=F173)*(Contratos!$D$2:$D$203=G173)*(DATE(D173,MATCH(C173,{"Enero";"Febrero";"Marzo";"Abril";"Mayo";"Junio";"Julio";"Agosto";"Septiembre";"Octubre";"Noviembre";"Diciembre"},0),1)&gt;=DATE(YEAR(Contratos!$E$2:$E$203),MONTH(Contratos!$E$2:$E$203),1))*(DATE(D173,MATCH(C173,{"Enero";"Febrero";"Marzo";"Abril";"Mayo";"Junio";"Julio";"Agosto";"Septiembre";"Octubre";"Noviembre";"Diciembre"},0),1)&lt;=DATE(YEAR(Contratos!$F$2:$F$203),MONTH(Contratos!$F$2:$F$203),1)),Contratos!$A$2:$A$203,"")</f>
        <v>02c61008-4e84-43c2-88b5-08e054eb6049</v>
      </c>
      <c r="B173" t="s">
        <v>124</v>
      </c>
      <c r="C173" s="2" t="s">
        <v>42</v>
      </c>
      <c r="D173" s="12">
        <v>2025</v>
      </c>
      <c r="E173" s="9">
        <v>46031</v>
      </c>
      <c r="F173" t="s">
        <v>4</v>
      </c>
      <c r="G173">
        <v>1</v>
      </c>
      <c r="H173" t="s">
        <v>27</v>
      </c>
      <c r="I173" s="2">
        <v>850000</v>
      </c>
      <c r="J173" s="2">
        <v>83000</v>
      </c>
      <c r="K173" s="2">
        <v>20000</v>
      </c>
      <c r="L173" s="2">
        <f t="shared" si="13"/>
        <v>747000</v>
      </c>
    </row>
    <row r="174" spans="1:12" x14ac:dyDescent="0.25">
      <c r="A174" t="str" cm="1">
        <f t="array" ref="A174">_xlfn.XLOOKUP(1,(Contratos!$B$2:$B$203=H174)*(Contratos!$C$2:$C$203=F174)*(Contratos!$D$2:$D$203=G174)*(DATE(D174,MATCH(C174,{"Enero";"Febrero";"Marzo";"Abril";"Mayo";"Junio";"Julio";"Agosto";"Septiembre";"Octubre";"Noviembre";"Diciembre"},0),1)&gt;=DATE(YEAR(Contratos!$E$2:$E$203),MONTH(Contratos!$E$2:$E$203),1))*(DATE(D174,MATCH(C174,{"Enero";"Febrero";"Marzo";"Abril";"Mayo";"Junio";"Julio";"Agosto";"Septiembre";"Octubre";"Noviembre";"Diciembre"},0),1)&lt;=DATE(YEAR(Contratos!$F$2:$F$203),MONTH(Contratos!$F$2:$F$203),1)),Contratos!$A$2:$A$203,"")</f>
        <v>359216a7-8ba9-4e24-8cac-7dc225c9d6e1</v>
      </c>
      <c r="B174" t="s">
        <v>124</v>
      </c>
      <c r="C174" s="2" t="s">
        <v>42</v>
      </c>
      <c r="D174" s="12">
        <v>2025</v>
      </c>
      <c r="E174" s="9">
        <v>46031</v>
      </c>
      <c r="F174" t="s">
        <v>4</v>
      </c>
      <c r="G174">
        <v>2</v>
      </c>
      <c r="H174" t="s">
        <v>14</v>
      </c>
      <c r="I174" s="2">
        <v>803700</v>
      </c>
      <c r="J174" s="2">
        <v>78370</v>
      </c>
      <c r="K174" s="2">
        <v>20000</v>
      </c>
      <c r="L174" s="2">
        <f t="shared" si="13"/>
        <v>705330</v>
      </c>
    </row>
    <row r="175" spans="1:12" x14ac:dyDescent="0.25">
      <c r="A175" t="str" cm="1">
        <f t="array" ref="A175">_xlfn.XLOOKUP(1,(Contratos!$B$2:$B$203=H175)*(Contratos!$C$2:$C$203=F175)*(Contratos!$D$2:$D$203=G175)*(DATE(D175,MATCH(C175,{"Enero";"Febrero";"Marzo";"Abril";"Mayo";"Junio";"Julio";"Agosto";"Septiembre";"Octubre";"Noviembre";"Diciembre"},0),1)&gt;=DATE(YEAR(Contratos!$E$2:$E$203),MONTH(Contratos!$E$2:$E$203),1))*(DATE(D175,MATCH(C175,{"Enero";"Febrero";"Marzo";"Abril";"Mayo";"Junio";"Julio";"Agosto";"Septiembre";"Octubre";"Noviembre";"Diciembre"},0),1)&lt;=DATE(YEAR(Contratos!$F$2:$F$203),MONTH(Contratos!$F$2:$F$203),1)),Contratos!$A$2:$A$203,"")</f>
        <v>7366f152-e5d2-44a3-8beb-4d85e5905cbc</v>
      </c>
      <c r="B175" t="s">
        <v>124</v>
      </c>
      <c r="C175" s="2" t="s">
        <v>42</v>
      </c>
      <c r="D175" s="12">
        <v>2025</v>
      </c>
      <c r="E175" s="9">
        <v>46031</v>
      </c>
      <c r="F175" t="s">
        <v>4</v>
      </c>
      <c r="G175">
        <v>3</v>
      </c>
      <c r="H175" t="s">
        <v>30</v>
      </c>
      <c r="I175" s="2">
        <v>750000</v>
      </c>
      <c r="J175" s="2">
        <v>73000</v>
      </c>
      <c r="K175" s="2">
        <v>20000</v>
      </c>
      <c r="L175" s="2">
        <f t="shared" si="13"/>
        <v>657000</v>
      </c>
    </row>
    <row r="176" spans="1:12" x14ac:dyDescent="0.25">
      <c r="A176" t="str" cm="1">
        <f t="array" ref="A176">_xlfn.XLOOKUP(1,(Contratos!$B$2:$B$203=H176)*(Contratos!$C$2:$C$203=F176)*(Contratos!$D$2:$D$203=G176)*(DATE(D176,MATCH(C176,{"Enero";"Febrero";"Marzo";"Abril";"Mayo";"Junio";"Julio";"Agosto";"Septiembre";"Octubre";"Noviembre";"Diciembre"},0),1)&gt;=DATE(YEAR(Contratos!$E$2:$E$203),MONTH(Contratos!$E$2:$E$203),1))*(DATE(D176,MATCH(C176,{"Enero";"Febrero";"Marzo";"Abril";"Mayo";"Junio";"Julio";"Agosto";"Septiembre";"Octubre";"Noviembre";"Diciembre"},0),1)&lt;=DATE(YEAR(Contratos!$F$2:$F$203),MONTH(Contratos!$F$2:$F$203),1)),Contratos!$A$2:$A$203,"")</f>
        <v>b934fcd1-5390-4b7c-b3bc-4a642a1d7f9e</v>
      </c>
      <c r="B176" t="s">
        <v>124</v>
      </c>
      <c r="C176" s="2" t="s">
        <v>42</v>
      </c>
      <c r="D176" s="12">
        <v>2025</v>
      </c>
      <c r="E176" s="9">
        <v>46031</v>
      </c>
      <c r="F176" t="s">
        <v>4</v>
      </c>
      <c r="G176">
        <v>4</v>
      </c>
      <c r="H176" t="s">
        <v>28</v>
      </c>
      <c r="I176" s="2">
        <v>650000</v>
      </c>
      <c r="J176" s="2">
        <v>63000</v>
      </c>
      <c r="K176" s="2">
        <v>20000</v>
      </c>
      <c r="L176" s="2">
        <f t="shared" si="13"/>
        <v>567000</v>
      </c>
    </row>
    <row r="177" spans="1:12" x14ac:dyDescent="0.25">
      <c r="A177" t="str" cm="1">
        <f t="array" ref="A177">_xlfn.XLOOKUP(1,(Contratos!$B$2:$B$203=H177)*(Contratos!$C$2:$C$203=F177)*(Contratos!$D$2:$D$203=G177)*(DATE(D177,MATCH(C177,{"Enero";"Febrero";"Marzo";"Abril";"Mayo";"Junio";"Julio";"Agosto";"Septiembre";"Octubre";"Noviembre";"Diciembre"},0),1)&gt;=DATE(YEAR(Contratos!$E$2:$E$203),MONTH(Contratos!$E$2:$E$203),1))*(DATE(D177,MATCH(C177,{"Enero";"Febrero";"Marzo";"Abril";"Mayo";"Junio";"Julio";"Agosto";"Septiembre";"Octubre";"Noviembre";"Diciembre"},0),1)&lt;=DATE(YEAR(Contratos!$F$2:$F$203),MONTH(Contratos!$F$2:$F$203),1)),Contratos!$A$2:$A$203,"")</f>
        <v>40f08409-f7a6-467c-8e53-1f5a9a143a9f</v>
      </c>
      <c r="B177" t="s">
        <v>124</v>
      </c>
      <c r="C177" s="2" t="s">
        <v>42</v>
      </c>
      <c r="D177" s="12">
        <v>2025</v>
      </c>
      <c r="E177" s="9">
        <v>46031</v>
      </c>
      <c r="F177" t="s">
        <v>5</v>
      </c>
      <c r="G177">
        <v>1</v>
      </c>
      <c r="H177" t="s">
        <v>17</v>
      </c>
      <c r="I177" s="2">
        <v>694320</v>
      </c>
      <c r="J177" s="2">
        <v>67432</v>
      </c>
      <c r="K177" s="2">
        <v>20000</v>
      </c>
      <c r="L177" s="2">
        <f t="shared" si="13"/>
        <v>606888</v>
      </c>
    </row>
    <row r="178" spans="1:12" x14ac:dyDescent="0.25">
      <c r="A178" t="str" cm="1">
        <f t="array" ref="A178">_xlfn.XLOOKUP(1,(Contratos!$B$2:$B$203=H178)*(Contratos!$C$2:$C$203=F178)*(Contratos!$D$2:$D$203=G178)*(DATE(D178,MATCH(C178,{"Enero";"Febrero";"Marzo";"Abril";"Mayo";"Junio";"Julio";"Agosto";"Septiembre";"Octubre";"Noviembre";"Diciembre"},0),1)&gt;=DATE(YEAR(Contratos!$E$2:$E$203),MONTH(Contratos!$E$2:$E$203),1))*(DATE(D178,MATCH(C178,{"Enero";"Febrero";"Marzo";"Abril";"Mayo";"Junio";"Julio";"Agosto";"Septiembre";"Octubre";"Noviembre";"Diciembre"},0),1)&lt;=DATE(YEAR(Contratos!$F$2:$F$203),MONTH(Contratos!$F$2:$F$203),1)),Contratos!$A$2:$A$203,"")</f>
        <v>10959edc-7e2c-4e4e-b5ee-d6bdac93ae9e</v>
      </c>
      <c r="B178" t="s">
        <v>124</v>
      </c>
      <c r="C178" s="2" t="s">
        <v>42</v>
      </c>
      <c r="D178" s="12">
        <v>2025</v>
      </c>
      <c r="E178" s="9">
        <v>46031</v>
      </c>
      <c r="F178" t="s">
        <v>5</v>
      </c>
      <c r="G178">
        <v>2</v>
      </c>
      <c r="H178" t="s">
        <v>18</v>
      </c>
      <c r="I178" s="2">
        <v>704800</v>
      </c>
      <c r="J178" s="2">
        <v>68480</v>
      </c>
      <c r="K178" s="2">
        <v>20000</v>
      </c>
      <c r="L178" s="2">
        <f t="shared" si="13"/>
        <v>616320</v>
      </c>
    </row>
    <row r="179" spans="1:12" x14ac:dyDescent="0.25">
      <c r="A179" t="str" cm="1">
        <f t="array" ref="A179">_xlfn.XLOOKUP(1,(Contratos!$B$2:$B$203=H179)*(Contratos!$C$2:$C$203=F179)*(Contratos!$D$2:$D$203=G179)*(DATE(D179,MATCH(C179,{"Enero";"Febrero";"Marzo";"Abril";"Mayo";"Junio";"Julio";"Agosto";"Septiembre";"Octubre";"Noviembre";"Diciembre"},0),1)&gt;=DATE(YEAR(Contratos!$E$2:$E$203),MONTH(Contratos!$E$2:$E$203),1))*(DATE(D179,MATCH(C179,{"Enero";"Febrero";"Marzo";"Abril";"Mayo";"Junio";"Julio";"Agosto";"Septiembre";"Octubre";"Noviembre";"Diciembre"},0),1)&lt;=DATE(YEAR(Contratos!$F$2:$F$203),MONTH(Contratos!$F$2:$F$203),1)),Contratos!$A$2:$A$203,"")</f>
        <v>2aaff763-f744-410b-9718-249c5a655998</v>
      </c>
      <c r="B179" t="s">
        <v>124</v>
      </c>
      <c r="C179" s="2" t="s">
        <v>42</v>
      </c>
      <c r="D179" s="12">
        <v>2025</v>
      </c>
      <c r="E179" s="9">
        <v>46031</v>
      </c>
      <c r="F179" t="s">
        <v>5</v>
      </c>
      <c r="G179">
        <v>3</v>
      </c>
      <c r="H179" t="s">
        <v>29</v>
      </c>
      <c r="I179" s="2">
        <v>680000</v>
      </c>
      <c r="J179" s="2">
        <v>66000</v>
      </c>
      <c r="K179" s="2">
        <v>20000</v>
      </c>
      <c r="L179" s="2">
        <f t="shared" si="13"/>
        <v>594000</v>
      </c>
    </row>
    <row r="180" spans="1:12" x14ac:dyDescent="0.25">
      <c r="A180" t="str" cm="1">
        <f t="array" ref="A180">_xlfn.XLOOKUP(1,(Contratos!$B$2:$B$203=H180)*(Contratos!$C$2:$C$203=F180)*(Contratos!$D$2:$D$203=G180)*(DATE(D180,MATCH(C180,{"Enero";"Febrero";"Marzo";"Abril";"Mayo";"Junio";"Julio";"Agosto";"Septiembre";"Octubre";"Noviembre";"Diciembre"},0),1)&gt;=DATE(YEAR(Contratos!$E$2:$E$203),MONTH(Contratos!$E$2:$E$203),1))*(DATE(D180,MATCH(C180,{"Enero";"Febrero";"Marzo";"Abril";"Mayo";"Junio";"Julio";"Agosto";"Septiembre";"Octubre";"Noviembre";"Diciembre"},0),1)&lt;=DATE(YEAR(Contratos!$F$2:$F$203),MONTH(Contratos!$F$2:$F$203),1)),Contratos!$A$2:$A$203,"")</f>
        <v>1138e6b0-3b54-4f90-9461-f8f76393e615</v>
      </c>
      <c r="B180" t="s">
        <v>124</v>
      </c>
      <c r="C180" s="2" t="s">
        <v>42</v>
      </c>
      <c r="D180" s="12">
        <v>2025</v>
      </c>
      <c r="E180" s="10">
        <v>46031</v>
      </c>
      <c r="F180" t="s">
        <v>5</v>
      </c>
      <c r="G180">
        <v>4</v>
      </c>
      <c r="H180" t="s">
        <v>20</v>
      </c>
      <c r="I180" s="2">
        <v>631200</v>
      </c>
      <c r="J180" s="2">
        <v>61120</v>
      </c>
      <c r="K180" s="2">
        <v>20000</v>
      </c>
      <c r="L180" s="2">
        <f t="shared" si="13"/>
        <v>550080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Contratos</vt:lpstr>
      <vt:lpstr>Tabla dinamica</vt:lpstr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Martinez</dc:creator>
  <cp:lastModifiedBy>Mauricio Martinez</cp:lastModifiedBy>
  <dcterms:created xsi:type="dcterms:W3CDTF">2026-01-13T22:08:48Z</dcterms:created>
  <dcterms:modified xsi:type="dcterms:W3CDTF">2026-01-15T22:22:26Z</dcterms:modified>
</cp:coreProperties>
</file>